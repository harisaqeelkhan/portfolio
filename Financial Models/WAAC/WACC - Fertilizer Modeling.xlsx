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loud\Fast Lane\done\Financial modeling\New folder (2)\New folder\DCF\"/>
    </mc:Choice>
  </mc:AlternateContent>
  <xr:revisionPtr revIDLastSave="0" documentId="13_ncr:1_{3BF0E5D7-2449-472F-9D41-796FC69CEF43}" xr6:coauthVersionLast="47" xr6:coauthVersionMax="47" xr10:uidLastSave="{00000000-0000-0000-0000-000000000000}"/>
  <bookViews>
    <workbookView xWindow="-110" yWindow="-110" windowWidth="19420" windowHeight="10420" tabRatio="696" activeTab="1" xr2:uid="{00000000-000D-0000-FFFF-FFFF00000000}"/>
  </bookViews>
  <sheets>
    <sheet name="WACC Calc&gt;" sheetId="2" r:id="rId1"/>
    <sheet name="WACC" sheetId="1" r:id="rId2"/>
    <sheet name="Beta Calc&gt;" sheetId="3" r:id="rId3"/>
    <sheet name="FFC" sheetId="4" r:id="rId4"/>
    <sheet name="Engro" sheetId="5" r:id="rId5"/>
    <sheet name="Fatima" sheetId="6" r:id="rId6"/>
    <sheet name="Peer Comps" sheetId="7" r:id="rId7"/>
    <sheet name="Rat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J36" i="1"/>
  <c r="K30" i="1"/>
  <c r="E21" i="1"/>
  <c r="E20" i="1"/>
  <c r="D6" i="8"/>
  <c r="C30" i="1"/>
  <c r="J10" i="1"/>
  <c r="J10" i="7"/>
  <c r="J9" i="7"/>
  <c r="J8" i="7"/>
  <c r="K7" i="5"/>
  <c r="K13" i="5" s="1"/>
  <c r="K7" i="6"/>
  <c r="K13" i="6"/>
  <c r="K13" i="4"/>
  <c r="K7" i="4"/>
  <c r="F13" i="7"/>
  <c r="F12" i="7"/>
  <c r="P33" i="5"/>
  <c r="D9" i="7" s="1"/>
  <c r="G9" i="7" s="1"/>
  <c r="P35" i="4"/>
  <c r="P36" i="6"/>
  <c r="F12" i="1"/>
  <c r="F11" i="1"/>
  <c r="F10" i="1"/>
  <c r="G11" i="1"/>
  <c r="G12" i="1"/>
  <c r="G10" i="1"/>
  <c r="P8" i="6"/>
  <c r="I10" i="7" s="1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D8" i="5"/>
  <c r="G8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P6" i="5"/>
  <c r="I9" i="7" s="1"/>
  <c r="E11" i="1" l="1"/>
  <c r="K9" i="7"/>
  <c r="J12" i="1"/>
  <c r="J11" i="1"/>
  <c r="J13" i="7"/>
  <c r="J12" i="7"/>
  <c r="P7" i="6"/>
  <c r="P6" i="6"/>
  <c r="D10" i="7"/>
  <c r="D8" i="7"/>
  <c r="H9" i="7"/>
  <c r="H10" i="7" l="1"/>
  <c r="H12" i="7" s="1"/>
  <c r="E12" i="1"/>
  <c r="H8" i="7"/>
  <c r="H13" i="7" s="1"/>
  <c r="E10" i="1"/>
  <c r="G10" i="7"/>
  <c r="K10" i="7" s="1"/>
  <c r="G8" i="7"/>
  <c r="K8" i="7" s="1"/>
  <c r="K12" i="7" l="1"/>
  <c r="K13" i="7"/>
  <c r="C29" i="1"/>
  <c r="H10" i="1"/>
  <c r="K10" i="1" s="1"/>
  <c r="G12" i="7"/>
  <c r="G13" i="7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P4" i="5" s="1"/>
  <c r="G8" i="5"/>
  <c r="G262" i="4"/>
  <c r="G263" i="4"/>
  <c r="G264" i="4"/>
  <c r="G265" i="4"/>
  <c r="G266" i="4"/>
  <c r="D266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P8" i="4"/>
  <c r="I8" i="7" s="1"/>
  <c r="P5" i="5" l="1"/>
  <c r="I12" i="7"/>
  <c r="I13" i="7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C31" i="1"/>
  <c r="D30" i="1" s="1"/>
  <c r="E22" i="1"/>
  <c r="G14" i="1"/>
  <c r="G15" i="1"/>
  <c r="I12" i="1"/>
  <c r="I11" i="1"/>
  <c r="I10" i="1"/>
  <c r="H12" i="1"/>
  <c r="K12" i="1" s="1"/>
  <c r="H11" i="1"/>
  <c r="K11" i="1" s="1"/>
  <c r="J14" i="1" l="1"/>
  <c r="P6" i="4"/>
  <c r="P7" i="4"/>
  <c r="J15" i="1"/>
  <c r="I14" i="1"/>
  <c r="E29" i="1" s="1"/>
  <c r="K36" i="1" s="1"/>
  <c r="D29" i="1"/>
  <c r="D33" i="1" s="1"/>
  <c r="D31" i="1"/>
  <c r="E31" i="1" s="1"/>
  <c r="I15" i="1"/>
  <c r="H14" i="1"/>
  <c r="K15" i="1"/>
  <c r="K28" i="1" s="1"/>
  <c r="K14" i="1"/>
  <c r="H15" i="1"/>
  <c r="E30" i="1" l="1"/>
  <c r="K37" i="1" s="1"/>
  <c r="E33" i="1" l="1"/>
  <c r="K29" i="1" s="1"/>
  <c r="K31" i="1" s="1"/>
  <c r="K22" i="1" s="1"/>
  <c r="K23" i="1" s="1"/>
  <c r="J37" i="1" l="1"/>
  <c r="K38" i="1" s="1"/>
</calcChain>
</file>

<file path=xl/sharedStrings.xml><?xml version="1.0" encoding="utf-8"?>
<sst xmlns="http://schemas.openxmlformats.org/spreadsheetml/2006/main" count="218" uniqueCount="111">
  <si>
    <t>Weighted Average Cost of Capital</t>
  </si>
  <si>
    <t>Name of the company</t>
  </si>
  <si>
    <t>Country</t>
  </si>
  <si>
    <t>Total Debt</t>
  </si>
  <si>
    <t>Total Equity</t>
  </si>
  <si>
    <t>Tax Rate</t>
  </si>
  <si>
    <r>
      <t>Tax Rate</t>
    </r>
    <r>
      <rPr>
        <vertAlign val="superscript"/>
        <sz val="11"/>
        <color theme="1"/>
        <rFont val="Calibri"/>
        <family val="2"/>
        <scheme val="minor"/>
      </rPr>
      <t xml:space="preserve"> 1</t>
    </r>
  </si>
  <si>
    <t>Debt/</t>
  </si>
  <si>
    <t>Equity</t>
  </si>
  <si>
    <t>Capital</t>
  </si>
  <si>
    <t>Unlevered</t>
  </si>
  <si>
    <r>
      <t>Beta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</si>
  <si>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r>
      <t>Beta</t>
    </r>
    <r>
      <rPr>
        <vertAlign val="superscript"/>
        <sz val="11"/>
        <color theme="1"/>
        <rFont val="Calibri"/>
        <family val="2"/>
        <scheme val="minor"/>
      </rPr>
      <t xml:space="preserve"> 3</t>
    </r>
  </si>
  <si>
    <t>Average</t>
  </si>
  <si>
    <t>Median</t>
  </si>
  <si>
    <t>Cost of Debt</t>
  </si>
  <si>
    <t>Post Tax Cost of Debt</t>
  </si>
  <si>
    <t>Pre Tax Cost of Debt</t>
  </si>
  <si>
    <t>Cost of Equity</t>
  </si>
  <si>
    <t>Risk Free Rate</t>
  </si>
  <si>
    <t>Market Premium</t>
  </si>
  <si>
    <r>
      <t>Levered Beta</t>
    </r>
    <r>
      <rPr>
        <vertAlign val="superscript"/>
        <sz val="11"/>
        <color theme="1"/>
        <rFont val="Calibri"/>
        <family val="2"/>
        <scheme val="minor"/>
      </rPr>
      <t xml:space="preserve"> 4</t>
    </r>
  </si>
  <si>
    <t>Capital Structure</t>
  </si>
  <si>
    <t>Current</t>
  </si>
  <si>
    <t>Target</t>
  </si>
  <si>
    <t>Market Capitalization</t>
  </si>
  <si>
    <t>Total Capitalization</t>
  </si>
  <si>
    <t>Levered Beta</t>
  </si>
  <si>
    <t>Comps Median Unlevered Beta</t>
  </si>
  <si>
    <t>Target Debt / Equity</t>
  </si>
  <si>
    <t>Debt / Equity</t>
  </si>
  <si>
    <t>Debt</t>
  </si>
  <si>
    <t>Total Cost</t>
  </si>
  <si>
    <t>Total Weight</t>
  </si>
  <si>
    <t>Date</t>
  </si>
  <si>
    <t>Closing Price</t>
  </si>
  <si>
    <t>Returns</t>
  </si>
  <si>
    <t>FFC Weekly Returns</t>
  </si>
  <si>
    <t xml:space="preserve">Regression Beta - 5 years </t>
  </si>
  <si>
    <t>Beta by Slope</t>
  </si>
  <si>
    <t xml:space="preserve">Beta by Covariance </t>
  </si>
  <si>
    <t xml:space="preserve">Beta by regression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</si>
  <si>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</si>
  <si>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</si>
  <si>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</si>
  <si>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</si>
  <si>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</si>
  <si>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</si>
  <si>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</si>
  <si>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</si>
  <si>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</si>
  <si>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</si>
  <si>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</si>
  <si>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</si>
  <si>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</si>
  <si>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</si>
  <si>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</si>
  <si>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</si>
  <si>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</si>
  <si>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</si>
  <si>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</si>
  <si>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</si>
  <si>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</si>
  <si>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</si>
  <si>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</si>
  <si>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</si>
  <si>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</si>
  <si>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All figures are in PKR unless stated otherwise</t>
  </si>
  <si>
    <t>Engro Fertilizers Weekly Returns</t>
  </si>
  <si>
    <t>Beta by slope</t>
  </si>
  <si>
    <t>Beta by covariance</t>
  </si>
  <si>
    <t>Beta by Regression</t>
  </si>
  <si>
    <t>Pakistan</t>
  </si>
  <si>
    <t>Engro Fertilizers Limited</t>
  </si>
  <si>
    <t>Fatima Fertilizer Company Limited</t>
  </si>
  <si>
    <t>Debt Calculations</t>
  </si>
  <si>
    <t xml:space="preserve">Long term Debt financing secured </t>
  </si>
  <si>
    <t xml:space="preserve">Short term Debt financing secured </t>
  </si>
  <si>
    <t xml:space="preserve">Current portion of LT financing </t>
  </si>
  <si>
    <t>Long term borrowings - secured</t>
  </si>
  <si>
    <t xml:space="preserve">Short term borrowing secured </t>
  </si>
  <si>
    <t>Current portion of LT borrowing - secured</t>
  </si>
  <si>
    <t>https://dps.psx.com.pk/download/document/269389.pdf</t>
  </si>
  <si>
    <t xml:space="preserve">Borrowings </t>
  </si>
  <si>
    <t>Current portion of borrowings</t>
  </si>
  <si>
    <t>Short-term borrowings</t>
  </si>
  <si>
    <t xml:space="preserve">Levered Beta </t>
  </si>
  <si>
    <t>Before driffting</t>
  </si>
  <si>
    <t>Peer - Comps</t>
  </si>
  <si>
    <t>All values in PKR ---000'</t>
  </si>
  <si>
    <t>Companies</t>
  </si>
  <si>
    <t>Peer Comps</t>
  </si>
  <si>
    <t>After Drifting</t>
  </si>
  <si>
    <t>Beta</t>
  </si>
  <si>
    <t xml:space="preserve">Beta Drifting </t>
  </si>
  <si>
    <t>Levered Raw Beta</t>
  </si>
  <si>
    <t>Raw Beta weight</t>
  </si>
  <si>
    <t>Market Beta</t>
  </si>
  <si>
    <t xml:space="preserve">Market Beta Weight </t>
  </si>
  <si>
    <t>Adjusted Beta</t>
  </si>
  <si>
    <t>Kibor rate</t>
  </si>
  <si>
    <t>Spread</t>
  </si>
  <si>
    <t>Pre tax xost of debt</t>
  </si>
  <si>
    <t>Cost of debt</t>
  </si>
  <si>
    <t>Levered</t>
  </si>
  <si>
    <t xml:space="preserve">1 The effective tax rate taken includes Super tax </t>
  </si>
  <si>
    <t>2 The levered beta is calculated for 5 years weekly historical data</t>
  </si>
  <si>
    <t>3 The unlevered beta = levered beta / (1+(1-tax)*(debt/equity))</t>
  </si>
  <si>
    <t>Fauji Fertilizer Company Limited</t>
  </si>
  <si>
    <t>Generated by Muhammad Haris Khan</t>
  </si>
  <si>
    <t>Connect on 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</si>
</sst>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333FF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8" fillId="0" borderId="0" xfId="0" applyFont="1"/>
    <xf numFmtId="10" fontId="8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10" fontId="0" fillId="0" borderId="0" xfId="1" applyNumberFormat="1" applyFont="1"/>
    <xf numFmtId="2" fontId="0" fillId="0" borderId="0" xfId="0" applyNumberFormat="1"/>
    <xf numFmtId="10" fontId="0" fillId="3" borderId="0" xfId="1" applyNumberFormat="1" applyFont="1" applyFill="1"/>
    <xf numFmtId="0" fontId="0" fillId="0" borderId="1" xfId="0" applyBorder="1"/>
    <xf numFmtId="0" fontId="0" fillId="0" borderId="2" xfId="0" applyBorder="1"/>
    <xf numFmtId="10" fontId="0" fillId="0" borderId="1" xfId="0" applyNumberFormat="1" applyBorder="1"/>
    <xf numFmtId="10" fontId="0" fillId="0" borderId="2" xfId="0" applyNumberForma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3" xfId="0" applyBorder="1"/>
    <xf numFmtId="0" fontId="4" fillId="0" borderId="2" xfId="0" applyFont="1" applyBorder="1"/>
    <xf numFmtId="10" fontId="0" fillId="3" borderId="3" xfId="1" applyNumberFormat="1" applyFont="1" applyFill="1" applyBorder="1"/>
    <xf numFmtId="0" fontId="4" fillId="0" borderId="2" xfId="0" applyFont="1" applyBorder="1" applyAlignment="1">
      <alignment horizontal="right"/>
    </xf>
    <xf numFmtId="10" fontId="0" fillId="0" borderId="3" xfId="1" applyNumberFormat="1" applyFont="1" applyBorder="1"/>
    <xf numFmtId="10" fontId="0" fillId="0" borderId="0" xfId="0" applyNumberFormat="1"/>
    <xf numFmtId="10" fontId="0" fillId="3" borderId="0" xfId="1" applyNumberFormat="1" applyFont="1" applyFill="1" applyBorder="1"/>
    <xf numFmtId="0" fontId="0" fillId="0" borderId="0" xfId="0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4" borderId="4" xfId="0" applyFill="1" applyBorder="1"/>
    <xf numFmtId="0" fontId="10" fillId="2" borderId="0" xfId="0" applyFont="1" applyFill="1"/>
    <xf numFmtId="0" fontId="0" fillId="0" borderId="5" xfId="0" applyBorder="1"/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Continuous"/>
    </xf>
    <xf numFmtId="0" fontId="9" fillId="5" borderId="5" xfId="0" applyFont="1" applyFill="1" applyBorder="1"/>
    <xf numFmtId="0" fontId="0" fillId="4" borderId="4" xfId="0" applyFill="1" applyBorder="1" applyAlignment="1">
      <alignment horizontal="left"/>
    </xf>
    <xf numFmtId="0" fontId="0" fillId="4" borderId="4" xfId="0" applyFill="1" applyBorder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6" borderId="5" xfId="0" applyFill="1" applyBorder="1"/>
    <xf numFmtId="10" fontId="0" fillId="0" borderId="0" xfId="1" applyNumberFormat="1" applyFont="1" applyAlignment="1">
      <alignment horizontal="right"/>
    </xf>
    <xf numFmtId="4" fontId="0" fillId="0" borderId="0" xfId="0" applyNumberFormat="1"/>
    <xf numFmtId="9" fontId="0" fillId="0" borderId="0" xfId="0" applyNumberFormat="1"/>
    <xf numFmtId="3" fontId="0" fillId="0" borderId="0" xfId="0" applyNumberFormat="1"/>
    <xf numFmtId="0" fontId="13" fillId="0" borderId="0" xfId="0" applyFont="1" applyAlignment="1">
      <alignment vertical="top"/>
    </xf>
    <xf numFmtId="0" fontId="6" fillId="0" borderId="0" xfId="0" applyFont="1"/>
    <xf numFmtId="0" fontId="12" fillId="0" borderId="0" xfId="0" applyFont="1"/>
    <xf numFmtId="0" fontId="13" fillId="0" borderId="1" xfId="0" applyFont="1" applyBorder="1"/>
    <xf numFmtId="164" fontId="2" fillId="0" borderId="0" xfId="0" applyNumberFormat="1" applyFont="1"/>
    <xf numFmtId="10" fontId="2" fillId="0" borderId="0" xfId="0" applyNumberFormat="1" applyFont="1" applyAlignment="1">
      <alignment vertical="top"/>
    </xf>
    <xf numFmtId="2" fontId="0" fillId="3" borderId="0" xfId="0" applyNumberFormat="1" applyFill="1"/>
    <xf numFmtId="10" fontId="0" fillId="0" borderId="3" xfId="0" applyNumberFormat="1" applyBorder="1"/>
    <xf numFmtId="2" fontId="0" fillId="3" borderId="3" xfId="0" applyNumberFormat="1" applyFill="1" applyBorder="1"/>
    <xf numFmtId="164" fontId="2" fillId="0" borderId="7" xfId="0" applyNumberFormat="1" applyFont="1" applyBorder="1"/>
    <xf numFmtId="0" fontId="6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0" fillId="4" borderId="5" xfId="0" applyFill="1" applyBorder="1" applyAlignment="1">
      <alignment horizontal="left"/>
    </xf>
    <xf numFmtId="0" fontId="0" fillId="0" borderId="2" xfId="0" applyBorder="1" applyAlignment="1">
      <alignment horizontal="right"/>
    </xf>
    <xf numFmtId="0" fontId="0" fillId="4" borderId="5" xfId="0" applyFill="1" applyBorder="1" applyAlignment="1"/>
    <xf numFmtId="0" fontId="0" fillId="0" borderId="0" xfId="0" applyAlignment="1">
      <alignment horizontal="left"/>
    </xf>
    <xf numFmtId="3" fontId="0" fillId="0" borderId="5" xfId="0" applyNumberFormat="1" applyBorder="1"/>
    <xf numFmtId="3" fontId="0" fillId="3" borderId="8" xfId="0" applyNumberFormat="1" applyFill="1" applyBorder="1"/>
    <xf numFmtId="0" fontId="0" fillId="3" borderId="9" xfId="0" applyFill="1" applyBorder="1"/>
    <xf numFmtId="2" fontId="0" fillId="3" borderId="9" xfId="0" applyNumberFormat="1" applyFill="1" applyBorder="1"/>
    <xf numFmtId="0" fontId="1" fillId="0" borderId="0" xfId="0" applyFont="1" applyAlignment="1">
      <alignment horizontal="right"/>
    </xf>
    <xf numFmtId="0" fontId="15" fillId="0" borderId="0" xfId="0" applyFont="1"/>
    <xf numFmtId="0" fontId="14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muhammad-haris-khan-ab2002x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DE20-1D62-4487-8CD6-D3621ADDE4E7}">
  <dimension ref="A1"/>
  <sheetViews>
    <sheetView showGridLines="0" workbookViewId="0">
      <selection activeCell="E1" sqref="E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41"/>
  <sheetViews>
    <sheetView showGridLines="0" tabSelected="1" topLeftCell="A15" zoomScale="89" workbookViewId="0">
      <selection activeCell="O28" sqref="O28"/>
    </sheetView>
  </sheetViews>
  <sheetFormatPr defaultRowHeight="14.5" x14ac:dyDescent="0.35"/>
  <cols>
    <col min="1" max="1" width="1.81640625" customWidth="1"/>
    <col min="2" max="2" width="21.6328125" customWidth="1"/>
    <col min="3" max="3" width="12.6328125" bestFit="1" customWidth="1"/>
    <col min="4" max="4" width="8" bestFit="1" customWidth="1"/>
    <col min="5" max="5" width="15.26953125" bestFit="1" customWidth="1"/>
    <col min="6" max="6" width="12.6328125" bestFit="1" customWidth="1"/>
    <col min="7" max="7" width="9" customWidth="1"/>
    <col min="8" max="8" width="10" bestFit="1" customWidth="1"/>
    <col min="9" max="9" width="8.54296875" customWidth="1"/>
    <col min="10" max="10" width="10.7265625" customWidth="1"/>
    <col min="11" max="11" width="11.90625" bestFit="1" customWidth="1"/>
  </cols>
  <sheetData>
    <row r="2" spans="2:11" ht="18.5" x14ac:dyDescent="0.45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</row>
    <row r="4" spans="2:11" x14ac:dyDescent="0.35">
      <c r="B4" s="51" t="s">
        <v>67</v>
      </c>
      <c r="C4" s="51"/>
      <c r="D4" s="51"/>
    </row>
    <row r="6" spans="2:11" x14ac:dyDescent="0.35">
      <c r="B6" s="16" t="s">
        <v>91</v>
      </c>
      <c r="C6" s="10"/>
      <c r="D6" s="10"/>
      <c r="E6" s="10"/>
      <c r="F6" s="10"/>
      <c r="G6" s="10"/>
      <c r="H6" s="10"/>
      <c r="I6" s="10"/>
      <c r="J6" s="10"/>
      <c r="K6" s="10"/>
    </row>
    <row r="7" spans="2:11" x14ac:dyDescent="0.35">
      <c r="H7" s="22" t="s">
        <v>7</v>
      </c>
      <c r="I7" s="22" t="s">
        <v>7</v>
      </c>
      <c r="J7" s="22" t="s">
        <v>104</v>
      </c>
      <c r="K7" s="22" t="s">
        <v>10</v>
      </c>
    </row>
    <row r="8" spans="2:11" ht="16.5" x14ac:dyDescent="0.35">
      <c r="B8" s="10" t="s">
        <v>1</v>
      </c>
      <c r="C8" s="10"/>
      <c r="D8" s="10" t="s">
        <v>2</v>
      </c>
      <c r="E8" s="54" t="s">
        <v>3</v>
      </c>
      <c r="F8" s="54" t="s">
        <v>4</v>
      </c>
      <c r="G8" s="10" t="s">
        <v>6</v>
      </c>
      <c r="H8" s="10" t="s">
        <v>8</v>
      </c>
      <c r="I8" s="10" t="s">
        <v>9</v>
      </c>
      <c r="J8" s="10" t="s">
        <v>11</v>
      </c>
      <c r="K8" s="10" t="s">
        <v>12</v>
      </c>
    </row>
    <row r="9" spans="2:11" x14ac:dyDescent="0.35">
      <c r="H9" s="5"/>
      <c r="I9" s="5"/>
      <c r="J9" s="5"/>
      <c r="K9" s="5"/>
    </row>
    <row r="10" spans="2:11" x14ac:dyDescent="0.35">
      <c r="B10" s="62" t="str">
        <f>'Peer Comps'!B8</f>
        <v>Fauji Fertilizer Company Limited</v>
      </c>
      <c r="C10" s="3"/>
      <c r="D10" s="61" t="s">
        <v>72</v>
      </c>
      <c r="E10" s="45">
        <f>'Peer Comps'!D8</f>
        <v>79894647</v>
      </c>
      <c r="F10" s="45">
        <f>'Peer Comps'!E8</f>
        <v>849081285.50999999</v>
      </c>
      <c r="G10" s="46">
        <f>'Peer Comps'!F8</f>
        <v>0.39</v>
      </c>
      <c r="H10" s="8">
        <f>E10/F10</f>
        <v>9.4095404484167075E-2</v>
      </c>
      <c r="I10" s="8">
        <f>E10/(E10+F10)</f>
        <v>8.6002924515097667E-2</v>
      </c>
      <c r="J10" s="7">
        <f>'Peer Comps'!J8</f>
        <v>0.84594614034982252</v>
      </c>
      <c r="K10" s="47">
        <f>J10/(1+(1-G10)*H10)</f>
        <v>0.80002608568998335</v>
      </c>
    </row>
    <row r="11" spans="2:11" x14ac:dyDescent="0.35">
      <c r="B11" s="62" t="str">
        <f>'Peer Comps'!B9</f>
        <v>Engro Fertilizers Limited</v>
      </c>
      <c r="C11" s="3"/>
      <c r="D11" s="61" t="s">
        <v>72</v>
      </c>
      <c r="E11" s="45">
        <f>'Peer Comps'!D9</f>
        <v>73205930</v>
      </c>
      <c r="F11" s="45">
        <f>'Peer Comps'!E9</f>
        <v>317988193.16000003</v>
      </c>
      <c r="G11" s="46">
        <f>'Peer Comps'!F9</f>
        <v>0.39</v>
      </c>
      <c r="H11" s="8">
        <f t="shared" ref="H11:H12" si="0">E11/F11</f>
        <v>0.23021587459747431</v>
      </c>
      <c r="I11" s="8">
        <f t="shared" ref="I11:I12" si="1">E11/(E11+F11)</f>
        <v>0.18713453415060244</v>
      </c>
      <c r="J11" s="7">
        <f>'Peer Comps'!J9</f>
        <v>0.8800412641562485</v>
      </c>
      <c r="K11" s="47">
        <f t="shared" ref="K11:K12" si="2">J11/(1+(1-G11)*H11)</f>
        <v>0.77167381166748117</v>
      </c>
    </row>
    <row r="12" spans="2:11" x14ac:dyDescent="0.35">
      <c r="B12" s="62" t="str">
        <f>'Peer Comps'!B10</f>
        <v>Fatima Fertilizer Company Limited</v>
      </c>
      <c r="C12" s="3"/>
      <c r="D12" s="61" t="s">
        <v>72</v>
      </c>
      <c r="E12" s="45">
        <f>'Peer Comps'!D10</f>
        <v>67497376</v>
      </c>
      <c r="F12" s="45">
        <f>'Peer Comps'!E10</f>
        <v>393771000</v>
      </c>
      <c r="G12" s="46">
        <f>'Peer Comps'!F10</f>
        <v>0.39</v>
      </c>
      <c r="H12" s="8">
        <f t="shared" si="0"/>
        <v>0.17141276528743865</v>
      </c>
      <c r="I12" s="8">
        <f t="shared" si="1"/>
        <v>0.14632994480419356</v>
      </c>
      <c r="J12" s="7">
        <f>'Peer Comps'!J10</f>
        <v>0.7817232253025248</v>
      </c>
      <c r="K12" s="47">
        <f t="shared" si="2"/>
        <v>0.70772249649275365</v>
      </c>
    </row>
    <row r="13" spans="2:11" x14ac:dyDescent="0.35">
      <c r="I13" s="7"/>
    </row>
    <row r="14" spans="2:11" x14ac:dyDescent="0.35">
      <c r="F14" s="9" t="s">
        <v>13</v>
      </c>
      <c r="G14" s="11">
        <f>IFERROR(AVERAGE(G10:G12),0)</f>
        <v>0.38999999999999996</v>
      </c>
      <c r="H14" s="11">
        <f>IFERROR(AVERAGE(H10:H12),0)</f>
        <v>0.16524134812302668</v>
      </c>
      <c r="I14" s="11">
        <f>IFERROR(AVERAGE(I10:I12),0)</f>
        <v>0.13982246782329788</v>
      </c>
      <c r="J14" s="13">
        <f>IFERROR(AVERAGE(J10:J12),0)</f>
        <v>0.83590354326953198</v>
      </c>
      <c r="K14" s="13">
        <f>IFERROR(AVERAGE(K10:K12),0)</f>
        <v>0.75980746461673931</v>
      </c>
    </row>
    <row r="15" spans="2:11" x14ac:dyDescent="0.35">
      <c r="F15" s="10" t="s">
        <v>14</v>
      </c>
      <c r="G15" s="12">
        <f>IFERROR(MEDIAN(G10:G12),0)</f>
        <v>0.39</v>
      </c>
      <c r="H15" s="12">
        <f>IFERROR(MEDIAN(H10:H12),0)</f>
        <v>0.17141276528743865</v>
      </c>
      <c r="I15" s="12">
        <f>IFERROR(MEDIAN(I10:I12),0)</f>
        <v>0.14632994480419356</v>
      </c>
      <c r="J15" s="14">
        <f>IFERROR(MEDIAN(J10:J12),0)</f>
        <v>0.84594614034982252</v>
      </c>
      <c r="K15" s="14">
        <f>IFERROR(MEDIAN(K10:K12),0)</f>
        <v>0.77167381166748117</v>
      </c>
    </row>
    <row r="18" spans="2:11" x14ac:dyDescent="0.35">
      <c r="B18" s="16" t="s">
        <v>15</v>
      </c>
      <c r="C18" s="10"/>
      <c r="D18" s="10"/>
      <c r="E18" s="10"/>
      <c r="G18" s="16" t="s">
        <v>18</v>
      </c>
      <c r="H18" s="10"/>
      <c r="I18" s="10"/>
      <c r="J18" s="10"/>
      <c r="K18" s="10"/>
    </row>
    <row r="20" spans="2:11" x14ac:dyDescent="0.35">
      <c r="B20" t="s">
        <v>17</v>
      </c>
      <c r="E20" s="46">
        <f>Rates!D6</f>
        <v>0.1225</v>
      </c>
      <c r="G20" t="s">
        <v>19</v>
      </c>
      <c r="K20" s="4">
        <v>0.1105</v>
      </c>
    </row>
    <row r="21" spans="2:11" x14ac:dyDescent="0.35">
      <c r="B21" t="s">
        <v>5</v>
      </c>
      <c r="E21" s="46">
        <f>G10</f>
        <v>0.39</v>
      </c>
      <c r="G21" t="s">
        <v>20</v>
      </c>
      <c r="K21" s="4">
        <v>0.06</v>
      </c>
    </row>
    <row r="22" spans="2:11" ht="16.5" x14ac:dyDescent="0.35">
      <c r="B22" s="15" t="s">
        <v>16</v>
      </c>
      <c r="C22" s="15"/>
      <c r="D22" s="15"/>
      <c r="E22" s="17">
        <f>IFERROR(E20*(1-E21),0)</f>
        <v>7.4725E-2</v>
      </c>
      <c r="G22" t="s">
        <v>21</v>
      </c>
      <c r="K22" s="7">
        <f>K31</f>
        <v>0.84818984809735831</v>
      </c>
    </row>
    <row r="23" spans="2:11" x14ac:dyDescent="0.35">
      <c r="G23" s="15" t="s">
        <v>18</v>
      </c>
      <c r="H23" s="15"/>
      <c r="I23" s="15"/>
      <c r="J23" s="15"/>
      <c r="K23" s="17">
        <f>K20+(K21*K22)</f>
        <v>0.16139139088584151</v>
      </c>
    </row>
    <row r="26" spans="2:11" x14ac:dyDescent="0.35">
      <c r="B26" s="16" t="s">
        <v>22</v>
      </c>
      <c r="C26" s="16"/>
      <c r="D26" s="10"/>
      <c r="E26" s="10"/>
      <c r="G26" s="16" t="s">
        <v>27</v>
      </c>
      <c r="H26" s="16"/>
      <c r="I26" s="10"/>
      <c r="J26" s="10"/>
      <c r="K26" s="10"/>
    </row>
    <row r="28" spans="2:11" x14ac:dyDescent="0.35">
      <c r="D28" s="18" t="s">
        <v>23</v>
      </c>
      <c r="E28" s="18" t="s">
        <v>24</v>
      </c>
      <c r="G28" t="s">
        <v>28</v>
      </c>
      <c r="K28" s="7">
        <f>K15</f>
        <v>0.77167381166748117</v>
      </c>
    </row>
    <row r="29" spans="2:11" x14ac:dyDescent="0.35">
      <c r="B29" t="s">
        <v>3</v>
      </c>
      <c r="C29" s="45">
        <f>E10</f>
        <v>79894647</v>
      </c>
      <c r="D29" s="6">
        <f>C29/$C$31</f>
        <v>8.6002924515097667E-2</v>
      </c>
      <c r="E29" s="46">
        <f>I14</f>
        <v>0.13982246782329788</v>
      </c>
      <c r="G29" t="s">
        <v>29</v>
      </c>
      <c r="K29" s="20">
        <f>E33</f>
        <v>0.16255070911870181</v>
      </c>
    </row>
    <row r="30" spans="2:11" x14ac:dyDescent="0.35">
      <c r="B30" t="s">
        <v>25</v>
      </c>
      <c r="C30" s="50">
        <f>F10</f>
        <v>849081285.50999999</v>
      </c>
      <c r="D30" s="6">
        <f>C30/$C$31</f>
        <v>0.91399707548490228</v>
      </c>
      <c r="E30" s="20">
        <f>E31-E29</f>
        <v>0.86017753217670212</v>
      </c>
      <c r="G30" t="s">
        <v>5</v>
      </c>
      <c r="K30" s="20">
        <f>G14</f>
        <v>0.38999999999999996</v>
      </c>
    </row>
    <row r="31" spans="2:11" x14ac:dyDescent="0.35">
      <c r="B31" s="15" t="s">
        <v>26</v>
      </c>
      <c r="C31" s="45">
        <f>SUM(C29:C30)</f>
        <v>928975932.50999999</v>
      </c>
      <c r="D31" s="19">
        <f t="shared" ref="D31" si="3">C31/$C$31</f>
        <v>1</v>
      </c>
      <c r="E31" s="48">
        <f>D31</f>
        <v>1</v>
      </c>
      <c r="G31" s="15" t="s">
        <v>27</v>
      </c>
      <c r="H31" s="15"/>
      <c r="I31" s="15"/>
      <c r="J31" s="15"/>
      <c r="K31" s="49">
        <f>K28*(1+(1-K30)*K29)</f>
        <v>0.84818984809735831</v>
      </c>
    </row>
    <row r="33" spans="2:11" x14ac:dyDescent="0.35">
      <c r="B33" t="s">
        <v>30</v>
      </c>
      <c r="D33" s="21">
        <f>D29/D30</f>
        <v>9.4095404484167075E-2</v>
      </c>
      <c r="E33" s="21">
        <f>E29/E30</f>
        <v>0.16255070911870181</v>
      </c>
      <c r="G33" s="16" t="s">
        <v>0</v>
      </c>
      <c r="H33" s="16"/>
      <c r="I33" s="10"/>
      <c r="J33" s="10"/>
      <c r="K33" s="10"/>
    </row>
    <row r="35" spans="2:11" x14ac:dyDescent="0.35">
      <c r="J35" s="18" t="s">
        <v>32</v>
      </c>
      <c r="K35" s="18" t="s">
        <v>33</v>
      </c>
    </row>
    <row r="36" spans="2:11" x14ac:dyDescent="0.35">
      <c r="B36" t="s">
        <v>105</v>
      </c>
      <c r="G36" t="s">
        <v>31</v>
      </c>
      <c r="J36" s="20">
        <f>E22</f>
        <v>7.4725E-2</v>
      </c>
      <c r="K36" s="20">
        <f>E29</f>
        <v>0.13982246782329788</v>
      </c>
    </row>
    <row r="37" spans="2:11" x14ac:dyDescent="0.35">
      <c r="B37" t="s">
        <v>106</v>
      </c>
      <c r="G37" t="s">
        <v>8</v>
      </c>
      <c r="J37" s="20">
        <f>K23</f>
        <v>0.16139139088584151</v>
      </c>
      <c r="K37" s="20">
        <f>E30</f>
        <v>0.86017753217670212</v>
      </c>
    </row>
    <row r="38" spans="2:11" x14ac:dyDescent="0.35">
      <c r="B38" t="s">
        <v>107</v>
      </c>
      <c r="G38" s="15" t="s">
        <v>0</v>
      </c>
      <c r="H38" s="15"/>
      <c r="I38" s="15"/>
      <c r="J38" s="15"/>
      <c r="K38" s="17">
        <f>SUMPRODUCT(J36:J37,K36:K37)</f>
        <v>0.14927348223484457</v>
      </c>
    </row>
    <row r="40" spans="2:11" x14ac:dyDescent="0.35">
      <c r="B40" t="s">
        <v>109</v>
      </c>
    </row>
    <row r="41" spans="2:11" x14ac:dyDescent="0.35">
      <c r="B41" s="63" t="s">
        <v>110</v>
      </c>
    </row>
  </sheetData>
  <mergeCells count="1">
    <mergeCell ref="B4:D4"/>
  </mergeCells>
  <hyperlinks>
    <hyperlink ref="B41" r:id="rId1" xr:uid="{9D6BB3D9-0200-4576-A166-56F461DE4EC0}"/>
  </hyperlinks>
  <pageMargins left="0.7" right="0.7" top="0.75" bottom="0.75" header="0.3" footer="0.3"/>
  <pageSetup paperSize="9" scale="71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2C4F-59AD-4B42-B3FE-607EE4776C35}">
  <dimension ref="A1"/>
  <sheetViews>
    <sheetView showGridLines="0" workbookViewId="0">
      <selection activeCell="C2" sqref="C2"/>
    </sheetView>
  </sheetViews>
  <sheetFormatPr defaultRowHeight="14.5" x14ac:dyDescent="0.35"/>
  <cols>
    <col min="1" max="1" width="1.8164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EC70-CC77-4AE5-965D-A059D7F19B98}">
  <dimension ref="B2:V267"/>
  <sheetViews>
    <sheetView showGridLines="0" workbookViewId="0">
      <selection activeCell="L39" sqref="L39"/>
    </sheetView>
  </sheetViews>
  <sheetFormatPr defaultRowHeight="14.5" x14ac:dyDescent="0.35"/>
  <cols>
    <col min="1" max="1" width="1.81640625" customWidth="1"/>
    <col min="2" max="2" width="10.453125" bestFit="1" customWidth="1"/>
    <col min="3" max="3" width="11.1796875" bestFit="1" customWidth="1"/>
    <col min="4" max="4" width="7.26953125" bestFit="1" customWidth="1"/>
    <col min="6" max="6" width="11.1796875" bestFit="1" customWidth="1"/>
    <col min="7" max="7" width="7.26953125" bestFit="1" customWidth="1"/>
    <col min="9" max="9" width="18" bestFit="1" customWidth="1"/>
    <col min="11" max="11" width="4.36328125" bestFit="1" customWidth="1"/>
    <col min="14" max="14" width="49.81640625" bestFit="1" customWidth="1"/>
    <col min="15" max="15" width="11.81640625" bestFit="1" customWidth="1"/>
    <col min="16" max="16" width="13.54296875" bestFit="1" customWidth="1"/>
    <col min="17" max="18" width="11.81640625" bestFit="1" customWidth="1"/>
    <col min="19" max="19" width="12.453125" bestFit="1" customWidth="1"/>
    <col min="20" max="20" width="11.81640625" bestFit="1" customWidth="1"/>
    <col min="21" max="21" width="12.453125" bestFit="1" customWidth="1"/>
    <col min="22" max="22" width="12" bestFit="1" customWidth="1"/>
  </cols>
  <sheetData>
    <row r="2" spans="2:16" ht="18.5" x14ac:dyDescent="0.45">
      <c r="B2" s="26" t="s">
        <v>38</v>
      </c>
      <c r="C2" s="2"/>
      <c r="D2" s="2"/>
    </row>
    <row r="4" spans="2:16" ht="18.5" x14ac:dyDescent="0.45">
      <c r="B4" s="26" t="s">
        <v>37</v>
      </c>
      <c r="C4" s="2"/>
      <c r="D4" s="2"/>
    </row>
    <row r="6" spans="2:16" ht="15" thickBot="1" x14ac:dyDescent="0.4">
      <c r="B6" s="25" t="s">
        <v>34</v>
      </c>
      <c r="C6" s="25" t="s">
        <v>35</v>
      </c>
      <c r="D6" s="25" t="s">
        <v>36</v>
      </c>
      <c r="F6" s="25" t="s">
        <v>35</v>
      </c>
      <c r="G6" s="25" t="s">
        <v>36</v>
      </c>
      <c r="I6" s="53" t="s">
        <v>94</v>
      </c>
      <c r="J6" s="53"/>
      <c r="K6" s="53"/>
      <c r="N6" t="s">
        <v>39</v>
      </c>
      <c r="P6" s="7">
        <f>SLOPE(D8:D266,G8:G266)</f>
        <v>0.77006886619376502</v>
      </c>
    </row>
    <row r="7" spans="2:16" x14ac:dyDescent="0.35">
      <c r="B7" s="24">
        <v>44227</v>
      </c>
      <c r="C7" s="7">
        <v>110.71</v>
      </c>
      <c r="D7" s="20"/>
      <c r="F7" s="7">
        <v>46905.79</v>
      </c>
      <c r="G7" s="20"/>
      <c r="I7" t="s">
        <v>95</v>
      </c>
      <c r="K7" s="7">
        <f>P8</f>
        <v>0.77006886619376502</v>
      </c>
      <c r="N7" t="s">
        <v>40</v>
      </c>
      <c r="P7" s="7">
        <f>_xlfn.COVARIANCE.S(D7:D266,G7:G266)/_xlfn.VAR.S(G7:G266)</f>
        <v>0.77006886619376447</v>
      </c>
    </row>
    <row r="8" spans="2:16" x14ac:dyDescent="0.35">
      <c r="B8" s="24">
        <v>44234</v>
      </c>
      <c r="C8" s="7">
        <v>108.21</v>
      </c>
      <c r="D8" s="20">
        <f t="shared" ref="D8:D71" si="0">C8/C7 -1</f>
        <v>-2.2581519284617491E-2</v>
      </c>
      <c r="F8" s="7">
        <v>45808.36</v>
      </c>
      <c r="G8" s="20">
        <f t="shared" ref="G8:G70" si="1">F8/F7 -1</f>
        <v>-2.3396471949411746E-2</v>
      </c>
      <c r="I8" t="s">
        <v>96</v>
      </c>
      <c r="K8" s="39">
        <v>0.67</v>
      </c>
      <c r="N8" t="s">
        <v>41</v>
      </c>
      <c r="P8" s="7">
        <f>O27</f>
        <v>0.77006886619376502</v>
      </c>
    </row>
    <row r="9" spans="2:16" x14ac:dyDescent="0.35">
      <c r="B9" s="24">
        <v>44241</v>
      </c>
      <c r="C9" s="7">
        <v>109.34</v>
      </c>
      <c r="D9" s="20">
        <f t="shared" si="0"/>
        <v>1.0442657795028287E-2</v>
      </c>
      <c r="F9" s="7">
        <v>46227.65</v>
      </c>
      <c r="G9" s="20">
        <f t="shared" si="1"/>
        <v>9.1531327469482893E-3</v>
      </c>
    </row>
    <row r="10" spans="2:16" x14ac:dyDescent="0.35">
      <c r="B10" s="24">
        <v>44248</v>
      </c>
      <c r="C10" s="7">
        <v>110.75</v>
      </c>
      <c r="D10" s="20">
        <f t="shared" si="0"/>
        <v>1.2895555149076143E-2</v>
      </c>
      <c r="F10" s="7">
        <v>45865.02</v>
      </c>
      <c r="G10" s="20">
        <f t="shared" si="1"/>
        <v>-7.8444394209959967E-3</v>
      </c>
      <c r="I10" t="s">
        <v>97</v>
      </c>
      <c r="K10">
        <v>1</v>
      </c>
      <c r="N10" t="s">
        <v>42</v>
      </c>
    </row>
    <row r="11" spans="2:16" ht="15" thickBot="1" x14ac:dyDescent="0.4">
      <c r="B11" s="24">
        <v>44255</v>
      </c>
      <c r="C11" s="7">
        <v>109.73</v>
      </c>
      <c r="D11" s="20">
        <f t="shared" si="0"/>
        <v>-9.2099322799096273E-3</v>
      </c>
      <c r="F11" s="7">
        <v>45837.35</v>
      </c>
      <c r="G11" s="20">
        <f t="shared" si="1"/>
        <v>-6.0329200772180069E-4</v>
      </c>
      <c r="I11" t="s">
        <v>98</v>
      </c>
      <c r="K11" s="39">
        <v>0.33</v>
      </c>
    </row>
    <row r="12" spans="2:16" ht="15" thickBot="1" x14ac:dyDescent="0.4">
      <c r="B12" s="24">
        <v>44262</v>
      </c>
      <c r="C12" s="7">
        <v>103.5</v>
      </c>
      <c r="D12" s="20">
        <f t="shared" si="0"/>
        <v>-5.6775722227285219E-2</v>
      </c>
      <c r="F12" s="7">
        <v>43788.08</v>
      </c>
      <c r="G12" s="20">
        <f t="shared" si="1"/>
        <v>-4.4707427458175464E-2</v>
      </c>
      <c r="N12" s="29" t="s">
        <v>43</v>
      </c>
      <c r="O12" s="29"/>
    </row>
    <row r="13" spans="2:16" ht="15" thickBot="1" x14ac:dyDescent="0.4">
      <c r="B13" s="24">
        <v>44269</v>
      </c>
      <c r="C13" s="7">
        <v>104.95</v>
      </c>
      <c r="D13" s="20">
        <f t="shared" si="0"/>
        <v>1.400966183574881E-2</v>
      </c>
      <c r="F13" s="7">
        <v>44901.31</v>
      </c>
      <c r="G13" s="20">
        <f t="shared" si="1"/>
        <v>2.5423128851504773E-2</v>
      </c>
      <c r="I13" s="59" t="s">
        <v>99</v>
      </c>
      <c r="J13" s="59"/>
      <c r="K13" s="59">
        <f>(K7*K8) + (K10*K11)</f>
        <v>0.84594614034982252</v>
      </c>
      <c r="N13" t="s">
        <v>44</v>
      </c>
      <c r="O13">
        <v>0.52696045594954288</v>
      </c>
    </row>
    <row r="14" spans="2:16" x14ac:dyDescent="0.35">
      <c r="B14" s="24">
        <v>44276</v>
      </c>
      <c r="C14" s="7">
        <v>105.43</v>
      </c>
      <c r="D14" s="20">
        <f t="shared" si="0"/>
        <v>4.5736064792758491E-3</v>
      </c>
      <c r="F14" s="7">
        <v>45521.63</v>
      </c>
      <c r="G14" s="20">
        <f t="shared" si="1"/>
        <v>1.3815187129284201E-2</v>
      </c>
      <c r="N14" t="s">
        <v>45</v>
      </c>
      <c r="O14">
        <v>0.27768732213455016</v>
      </c>
    </row>
    <row r="15" spans="2:16" x14ac:dyDescent="0.35">
      <c r="B15" s="24">
        <v>44283</v>
      </c>
      <c r="C15" s="7">
        <v>104.45</v>
      </c>
      <c r="D15" s="20">
        <f t="shared" si="0"/>
        <v>-9.2952670018021655E-3</v>
      </c>
      <c r="F15" s="7">
        <v>44300.95</v>
      </c>
      <c r="G15" s="20">
        <f t="shared" si="1"/>
        <v>-2.6815384247005247E-2</v>
      </c>
      <c r="N15" t="s">
        <v>46</v>
      </c>
      <c r="O15">
        <v>0.27487676696775848</v>
      </c>
    </row>
    <row r="16" spans="2:16" x14ac:dyDescent="0.35">
      <c r="B16" s="24">
        <v>44290</v>
      </c>
      <c r="C16" s="7">
        <v>102.5</v>
      </c>
      <c r="D16" s="20">
        <f t="shared" si="0"/>
        <v>-1.8669219722355246E-2</v>
      </c>
      <c r="F16" s="7">
        <v>45186.48</v>
      </c>
      <c r="G16" s="20">
        <f t="shared" si="1"/>
        <v>1.9988961861991728E-2</v>
      </c>
      <c r="N16" t="s">
        <v>47</v>
      </c>
      <c r="O16">
        <v>3.0554161798184647E-2</v>
      </c>
    </row>
    <row r="17" spans="2:22" ht="15" thickBot="1" x14ac:dyDescent="0.4">
      <c r="B17" s="24">
        <v>44297</v>
      </c>
      <c r="C17" s="7">
        <v>106</v>
      </c>
      <c r="D17" s="20">
        <f t="shared" si="0"/>
        <v>3.4146341463414664E-2</v>
      </c>
      <c r="F17" s="7">
        <v>45305.63</v>
      </c>
      <c r="G17" s="20">
        <f t="shared" si="1"/>
        <v>2.6368506686069715E-3</v>
      </c>
      <c r="N17" s="27" t="s">
        <v>48</v>
      </c>
      <c r="O17" s="27">
        <v>259</v>
      </c>
    </row>
    <row r="18" spans="2:22" x14ac:dyDescent="0.35">
      <c r="B18" s="24">
        <v>44304</v>
      </c>
      <c r="C18" s="7">
        <v>103.5</v>
      </c>
      <c r="D18" s="20">
        <f t="shared" si="0"/>
        <v>-2.3584905660377409E-2</v>
      </c>
      <c r="F18" s="7">
        <v>44706.76</v>
      </c>
      <c r="G18" s="20">
        <f t="shared" si="1"/>
        <v>-1.3218445477968133E-2</v>
      </c>
    </row>
    <row r="19" spans="2:22" ht="15" thickBot="1" x14ac:dyDescent="0.4">
      <c r="B19" s="24">
        <v>44311</v>
      </c>
      <c r="C19" s="7">
        <v>105</v>
      </c>
      <c r="D19" s="20">
        <f t="shared" si="0"/>
        <v>1.449275362318847E-2</v>
      </c>
      <c r="F19" s="7">
        <v>44262.35</v>
      </c>
      <c r="G19" s="20">
        <f t="shared" si="1"/>
        <v>-9.9405548512127018E-3</v>
      </c>
      <c r="N19" t="s">
        <v>49</v>
      </c>
    </row>
    <row r="20" spans="2:22" x14ac:dyDescent="0.35">
      <c r="B20" s="24">
        <v>44318</v>
      </c>
      <c r="C20" s="7">
        <v>108</v>
      </c>
      <c r="D20" s="20">
        <f t="shared" si="0"/>
        <v>2.857142857142847E-2</v>
      </c>
      <c r="F20" s="7">
        <v>45174.67</v>
      </c>
      <c r="G20" s="20">
        <f t="shared" si="1"/>
        <v>2.0611648500362012E-2</v>
      </c>
      <c r="N20" s="28"/>
      <c r="O20" s="28" t="s">
        <v>54</v>
      </c>
      <c r="P20" s="28" t="s">
        <v>55</v>
      </c>
      <c r="Q20" s="28" t="s">
        <v>56</v>
      </c>
      <c r="R20" s="28" t="s">
        <v>57</v>
      </c>
      <c r="S20" s="28" t="s">
        <v>58</v>
      </c>
    </row>
    <row r="21" spans="2:22" x14ac:dyDescent="0.35">
      <c r="B21" s="24">
        <v>44332</v>
      </c>
      <c r="C21" s="7">
        <v>108.66</v>
      </c>
      <c r="D21" s="20">
        <f t="shared" si="0"/>
        <v>6.1111111111111782E-3</v>
      </c>
      <c r="F21" s="7">
        <v>45914.98</v>
      </c>
      <c r="G21" s="20">
        <f t="shared" si="1"/>
        <v>1.6387723474239113E-2</v>
      </c>
      <c r="N21" t="s">
        <v>50</v>
      </c>
      <c r="O21">
        <v>1</v>
      </c>
      <c r="P21">
        <v>9.2236897464693379E-2</v>
      </c>
      <c r="Q21">
        <v>9.2236897464693379E-2</v>
      </c>
      <c r="R21">
        <v>98.801591022154483</v>
      </c>
      <c r="S21">
        <v>6.5570412680685154E-20</v>
      </c>
    </row>
    <row r="22" spans="2:22" x14ac:dyDescent="0.35">
      <c r="B22" s="24">
        <v>44339</v>
      </c>
      <c r="C22" s="7">
        <v>107.99</v>
      </c>
      <c r="D22" s="20">
        <f t="shared" si="0"/>
        <v>-6.1660224553653498E-3</v>
      </c>
      <c r="F22" s="7">
        <v>47126.29</v>
      </c>
      <c r="G22" s="20">
        <f t="shared" si="1"/>
        <v>2.6381586140296731E-2</v>
      </c>
      <c r="N22" t="s">
        <v>51</v>
      </c>
      <c r="O22">
        <v>257</v>
      </c>
      <c r="P22">
        <v>0.23992409841973905</v>
      </c>
      <c r="Q22">
        <v>9.3355680318964608E-4</v>
      </c>
    </row>
    <row r="23" spans="2:22" ht="15" thickBot="1" x14ac:dyDescent="0.4">
      <c r="B23" s="24">
        <v>44346</v>
      </c>
      <c r="C23" s="7">
        <v>107.5</v>
      </c>
      <c r="D23" s="20">
        <f t="shared" si="0"/>
        <v>-4.5374571719603018E-3</v>
      </c>
      <c r="F23" s="7">
        <v>48211.7</v>
      </c>
      <c r="G23" s="20">
        <f t="shared" si="1"/>
        <v>2.3031942467781619E-2</v>
      </c>
      <c r="N23" s="27" t="s">
        <v>52</v>
      </c>
      <c r="O23" s="27">
        <v>258</v>
      </c>
      <c r="P23" s="27">
        <v>0.33216099588443243</v>
      </c>
      <c r="Q23" s="27"/>
      <c r="R23" s="27"/>
      <c r="S23" s="27"/>
    </row>
    <row r="24" spans="2:22" ht="15" thickBot="1" x14ac:dyDescent="0.4">
      <c r="B24" s="24">
        <v>44353</v>
      </c>
      <c r="C24" s="7">
        <v>106.82</v>
      </c>
      <c r="D24" s="20">
        <f t="shared" si="0"/>
        <v>-6.3255813953488893E-3</v>
      </c>
      <c r="F24" s="7">
        <v>48304.72</v>
      </c>
      <c r="G24" s="20">
        <f t="shared" si="1"/>
        <v>1.9294071770961096E-3</v>
      </c>
    </row>
    <row r="25" spans="2:22" x14ac:dyDescent="0.35">
      <c r="B25" s="24">
        <v>44360</v>
      </c>
      <c r="C25" s="7">
        <v>106.93</v>
      </c>
      <c r="D25" s="20">
        <f t="shared" si="0"/>
        <v>1.029769706047734E-3</v>
      </c>
      <c r="F25" s="7">
        <v>48238.67</v>
      </c>
      <c r="G25" s="20">
        <f t="shared" si="1"/>
        <v>-1.3673612019695636E-3</v>
      </c>
      <c r="N25" s="28"/>
      <c r="O25" s="28" t="s">
        <v>59</v>
      </c>
      <c r="P25" s="28" t="s">
        <v>47</v>
      </c>
      <c r="Q25" s="28" t="s">
        <v>60</v>
      </c>
      <c r="R25" s="28" t="s">
        <v>61</v>
      </c>
      <c r="S25" s="28" t="s">
        <v>62</v>
      </c>
      <c r="T25" s="28" t="s">
        <v>63</v>
      </c>
      <c r="U25" s="28" t="s">
        <v>64</v>
      </c>
      <c r="V25" s="28" t="s">
        <v>65</v>
      </c>
    </row>
    <row r="26" spans="2:22" x14ac:dyDescent="0.35">
      <c r="B26" s="24">
        <v>44367</v>
      </c>
      <c r="C26" s="7">
        <v>107</v>
      </c>
      <c r="D26" s="20">
        <f t="shared" si="0"/>
        <v>6.5463387262698625E-4</v>
      </c>
      <c r="F26" s="7">
        <v>47703.94</v>
      </c>
      <c r="G26" s="20">
        <f t="shared" si="1"/>
        <v>-1.1085090032540212E-2</v>
      </c>
      <c r="N26" t="s">
        <v>53</v>
      </c>
      <c r="O26">
        <v>2.782233289102945E-3</v>
      </c>
      <c r="P26">
        <v>1.9472915709205184E-3</v>
      </c>
      <c r="Q26">
        <v>1.4287707761132737</v>
      </c>
      <c r="R26">
        <v>0.15428437893077188</v>
      </c>
      <c r="S26">
        <v>-1.0524462884535231E-3</v>
      </c>
      <c r="T26">
        <v>6.6169128666594135E-3</v>
      </c>
      <c r="U26">
        <v>-1.0524462884535231E-3</v>
      </c>
      <c r="V26">
        <v>6.6169128666594135E-3</v>
      </c>
    </row>
    <row r="27" spans="2:22" ht="15" thickBot="1" x14ac:dyDescent="0.4">
      <c r="B27" s="24">
        <v>44374</v>
      </c>
      <c r="C27" s="7">
        <v>106.9</v>
      </c>
      <c r="D27" s="20">
        <f t="shared" si="0"/>
        <v>-9.3457943925223663E-4</v>
      </c>
      <c r="F27" s="7">
        <v>47686.18</v>
      </c>
      <c r="G27" s="20">
        <f t="shared" si="1"/>
        <v>-3.7229629250756791E-4</v>
      </c>
      <c r="N27" s="27" t="s">
        <v>66</v>
      </c>
      <c r="O27" s="30">
        <v>0.77006886619376502</v>
      </c>
      <c r="P27" s="27">
        <v>7.7472504550788093E-2</v>
      </c>
      <c r="Q27" s="27">
        <v>9.9398989442626906</v>
      </c>
      <c r="R27" s="27">
        <v>6.5570412680683758E-20</v>
      </c>
      <c r="S27" s="27">
        <v>0.6175071053052188</v>
      </c>
      <c r="T27" s="27">
        <v>0.92263062708231125</v>
      </c>
      <c r="U27" s="27">
        <v>0.6175071053052188</v>
      </c>
      <c r="V27" s="27">
        <v>0.92263062708231125</v>
      </c>
    </row>
    <row r="28" spans="2:22" x14ac:dyDescent="0.35">
      <c r="B28" s="24">
        <v>44381</v>
      </c>
      <c r="C28" s="7">
        <v>107</v>
      </c>
      <c r="D28" s="20">
        <f t="shared" si="0"/>
        <v>9.3545369504210996E-4</v>
      </c>
      <c r="F28" s="7">
        <v>47563.45</v>
      </c>
      <c r="G28" s="20">
        <f t="shared" si="1"/>
        <v>-2.5737016468923013E-3</v>
      </c>
    </row>
    <row r="29" spans="2:22" x14ac:dyDescent="0.35">
      <c r="B29" s="24">
        <v>44388</v>
      </c>
      <c r="C29" s="7">
        <v>106.95</v>
      </c>
      <c r="D29" s="20">
        <f t="shared" si="0"/>
        <v>-4.6728971962617383E-4</v>
      </c>
      <c r="F29" s="7">
        <v>47834.33</v>
      </c>
      <c r="G29" s="20">
        <f t="shared" si="1"/>
        <v>5.6951293482707666E-3</v>
      </c>
    </row>
    <row r="30" spans="2:22" ht="15" thickBot="1" x14ac:dyDescent="0.4">
      <c r="B30" s="24">
        <v>44395</v>
      </c>
      <c r="C30" s="7">
        <v>107.85</v>
      </c>
      <c r="D30" s="20">
        <f t="shared" si="0"/>
        <v>8.4151472650770831E-3</v>
      </c>
      <c r="F30" s="7">
        <v>47793.07</v>
      </c>
      <c r="G30" s="20">
        <f t="shared" si="1"/>
        <v>-8.6256042469923244E-4</v>
      </c>
      <c r="N30" s="55" t="s">
        <v>75</v>
      </c>
      <c r="O30" s="55"/>
      <c r="P30" s="55"/>
    </row>
    <row r="31" spans="2:22" x14ac:dyDescent="0.35">
      <c r="B31" s="24">
        <v>44402</v>
      </c>
      <c r="C31" s="7">
        <v>106.5</v>
      </c>
      <c r="D31" s="20">
        <f t="shared" si="0"/>
        <v>-1.2517385257301727E-2</v>
      </c>
      <c r="F31" s="7">
        <v>47055.29</v>
      </c>
      <c r="G31" s="20">
        <f t="shared" si="1"/>
        <v>-1.5436966070603964E-2</v>
      </c>
    </row>
    <row r="32" spans="2:22" x14ac:dyDescent="0.35">
      <c r="B32" s="24">
        <v>44409</v>
      </c>
      <c r="C32" s="7">
        <v>106.45</v>
      </c>
      <c r="D32" s="20">
        <f t="shared" si="0"/>
        <v>-4.6948356807507974E-4</v>
      </c>
      <c r="F32" s="7">
        <v>47489.95</v>
      </c>
      <c r="G32" s="20">
        <f t="shared" si="1"/>
        <v>9.2372185996514311E-3</v>
      </c>
      <c r="N32" t="s">
        <v>79</v>
      </c>
      <c r="P32" s="40">
        <v>50250000</v>
      </c>
    </row>
    <row r="33" spans="2:18" x14ac:dyDescent="0.35">
      <c r="B33" s="24">
        <v>44416</v>
      </c>
      <c r="C33" s="7">
        <v>106.2</v>
      </c>
      <c r="D33" s="20">
        <f t="shared" si="0"/>
        <v>-2.3485204321277431E-3</v>
      </c>
      <c r="F33" s="7">
        <v>47169.84</v>
      </c>
      <c r="G33" s="20">
        <f t="shared" si="1"/>
        <v>-6.7405840604169986E-3</v>
      </c>
      <c r="N33" t="s">
        <v>80</v>
      </c>
      <c r="P33" s="40">
        <v>18594647</v>
      </c>
    </row>
    <row r="34" spans="2:18" ht="15" thickBot="1" x14ac:dyDescent="0.4">
      <c r="B34" s="24">
        <v>44423</v>
      </c>
      <c r="C34" s="7">
        <v>107</v>
      </c>
      <c r="D34" s="20">
        <f t="shared" si="0"/>
        <v>7.532956685499137E-3</v>
      </c>
      <c r="F34" s="7">
        <v>47599.82</v>
      </c>
      <c r="G34" s="20">
        <f t="shared" si="1"/>
        <v>9.1155704577332575E-3</v>
      </c>
      <c r="N34" s="27" t="s">
        <v>81</v>
      </c>
      <c r="O34" s="27"/>
      <c r="P34" s="57">
        <v>11050000</v>
      </c>
    </row>
    <row r="35" spans="2:18" ht="15" thickBot="1" x14ac:dyDescent="0.4">
      <c r="B35" s="24">
        <v>44430</v>
      </c>
      <c r="C35" s="7">
        <v>105.35</v>
      </c>
      <c r="D35" s="20">
        <f t="shared" si="0"/>
        <v>-1.5420560747663625E-2</v>
      </c>
      <c r="F35" s="7">
        <v>47136.53</v>
      </c>
      <c r="G35" s="20">
        <f t="shared" si="1"/>
        <v>-9.7330199988151511E-3</v>
      </c>
      <c r="P35" s="58">
        <f>SUM(P32:P34)</f>
        <v>79894647</v>
      </c>
    </row>
    <row r="36" spans="2:18" ht="15" thickTop="1" x14ac:dyDescent="0.35">
      <c r="B36" s="24">
        <v>44437</v>
      </c>
      <c r="C36" s="7">
        <v>105.76</v>
      </c>
      <c r="D36" s="20">
        <f t="shared" si="0"/>
        <v>3.8917892738492554E-3</v>
      </c>
      <c r="F36" s="7">
        <v>46957.47</v>
      </c>
      <c r="G36" s="20">
        <f t="shared" si="1"/>
        <v>-3.7987522628415427E-3</v>
      </c>
    </row>
    <row r="37" spans="2:18" x14ac:dyDescent="0.35">
      <c r="B37" s="24">
        <v>44444</v>
      </c>
      <c r="C37" s="7">
        <v>106.05</v>
      </c>
      <c r="D37" s="20">
        <f t="shared" si="0"/>
        <v>2.7420574886534155E-3</v>
      </c>
      <c r="F37" s="7">
        <v>47198.29</v>
      </c>
      <c r="G37" s="20">
        <f t="shared" si="1"/>
        <v>5.1284705074612358E-3</v>
      </c>
      <c r="N37" s="56" t="s">
        <v>82</v>
      </c>
      <c r="O37" s="56"/>
      <c r="P37" s="56"/>
      <c r="Q37" s="56"/>
      <c r="R37" s="56"/>
    </row>
    <row r="38" spans="2:18" x14ac:dyDescent="0.35">
      <c r="B38" s="24">
        <v>44451</v>
      </c>
      <c r="C38" s="7">
        <v>109.04</v>
      </c>
      <c r="D38" s="20">
        <f t="shared" si="0"/>
        <v>2.8194247996228272E-2</v>
      </c>
      <c r="F38" s="7">
        <v>46636.08</v>
      </c>
      <c r="G38" s="20">
        <f t="shared" si="1"/>
        <v>-1.1911660358881582E-2</v>
      </c>
    </row>
    <row r="39" spans="2:18" x14ac:dyDescent="0.35">
      <c r="B39" s="24">
        <v>44458</v>
      </c>
      <c r="C39" s="7">
        <v>104.01</v>
      </c>
      <c r="D39" s="20">
        <f t="shared" si="0"/>
        <v>-4.6129860601614059E-2</v>
      </c>
      <c r="F39" s="7">
        <v>45073.52</v>
      </c>
      <c r="G39" s="20">
        <f t="shared" si="1"/>
        <v>-3.3505388960650362E-2</v>
      </c>
    </row>
    <row r="40" spans="2:18" x14ac:dyDescent="0.35">
      <c r="B40" s="24">
        <v>44465</v>
      </c>
      <c r="C40" s="7">
        <v>101.5</v>
      </c>
      <c r="D40" s="20">
        <f t="shared" si="0"/>
        <v>-2.413229497163738E-2</v>
      </c>
      <c r="F40" s="7">
        <v>44871.7</v>
      </c>
      <c r="G40" s="20">
        <f t="shared" si="1"/>
        <v>-4.4775735287592155E-3</v>
      </c>
    </row>
    <row r="41" spans="2:18" x14ac:dyDescent="0.35">
      <c r="B41" s="24">
        <v>44472</v>
      </c>
      <c r="C41" s="7">
        <v>98.9</v>
      </c>
      <c r="D41" s="20">
        <f t="shared" si="0"/>
        <v>-2.5615763546797954E-2</v>
      </c>
      <c r="F41" s="7">
        <v>44477.23</v>
      </c>
      <c r="G41" s="20">
        <f t="shared" si="1"/>
        <v>-8.7910643011072098E-3</v>
      </c>
    </row>
    <row r="42" spans="2:18" x14ac:dyDescent="0.35">
      <c r="B42" s="24">
        <v>44479</v>
      </c>
      <c r="C42" s="7">
        <v>100.4</v>
      </c>
      <c r="D42" s="20">
        <f t="shared" si="0"/>
        <v>1.5166835187057526E-2</v>
      </c>
      <c r="F42" s="7">
        <v>44821.53</v>
      </c>
      <c r="G42" s="20">
        <f t="shared" si="1"/>
        <v>7.7410396285919614E-3</v>
      </c>
    </row>
    <row r="43" spans="2:18" x14ac:dyDescent="0.35">
      <c r="B43" s="24">
        <v>44486</v>
      </c>
      <c r="C43" s="7">
        <v>99.55</v>
      </c>
      <c r="D43" s="20">
        <f t="shared" si="0"/>
        <v>-8.4661354581674342E-3</v>
      </c>
      <c r="F43" s="7">
        <v>45578.36</v>
      </c>
      <c r="G43" s="20">
        <f t="shared" si="1"/>
        <v>1.6885411988390331E-2</v>
      </c>
    </row>
    <row r="44" spans="2:18" x14ac:dyDescent="0.35">
      <c r="B44" s="24">
        <v>44493</v>
      </c>
      <c r="C44" s="7">
        <v>103</v>
      </c>
      <c r="D44" s="20">
        <f t="shared" si="0"/>
        <v>3.4655951783023609E-2</v>
      </c>
      <c r="F44" s="7">
        <v>46218.93</v>
      </c>
      <c r="G44" s="20">
        <f t="shared" si="1"/>
        <v>1.4054257327380748E-2</v>
      </c>
    </row>
    <row r="45" spans="2:18" x14ac:dyDescent="0.35">
      <c r="B45" s="24">
        <v>44500</v>
      </c>
      <c r="C45" s="7">
        <v>101.78</v>
      </c>
      <c r="D45" s="20">
        <f t="shared" si="0"/>
        <v>-1.1844660194174739E-2</v>
      </c>
      <c r="F45" s="7">
        <v>47295.8</v>
      </c>
      <c r="G45" s="20">
        <f t="shared" si="1"/>
        <v>2.3299327786255652E-2</v>
      </c>
    </row>
    <row r="46" spans="2:18" x14ac:dyDescent="0.35">
      <c r="B46" s="24">
        <v>44507</v>
      </c>
      <c r="C46" s="7">
        <v>104.5</v>
      </c>
      <c r="D46" s="20">
        <f t="shared" si="0"/>
        <v>2.6724307329534236E-2</v>
      </c>
      <c r="F46" s="7">
        <v>45749.15</v>
      </c>
      <c r="G46" s="20">
        <f t="shared" si="1"/>
        <v>-3.2701635240338534E-2</v>
      </c>
    </row>
    <row r="47" spans="2:18" x14ac:dyDescent="0.35">
      <c r="B47" s="24">
        <v>44514</v>
      </c>
      <c r="C47" s="7">
        <v>106.29</v>
      </c>
      <c r="D47" s="20">
        <f t="shared" si="0"/>
        <v>1.7129186602870883E-2</v>
      </c>
      <c r="F47" s="7">
        <v>46489.41</v>
      </c>
      <c r="G47" s="20">
        <f t="shared" si="1"/>
        <v>1.6180847075847327E-2</v>
      </c>
    </row>
    <row r="48" spans="2:18" x14ac:dyDescent="0.35">
      <c r="B48" s="24">
        <v>44521</v>
      </c>
      <c r="C48" s="7">
        <v>100.9</v>
      </c>
      <c r="D48" s="20">
        <f t="shared" si="0"/>
        <v>-5.0710320820397059E-2</v>
      </c>
      <c r="F48" s="7">
        <v>44114.16</v>
      </c>
      <c r="G48" s="20">
        <f t="shared" si="1"/>
        <v>-5.109228101625729E-2</v>
      </c>
    </row>
    <row r="49" spans="2:7" x14ac:dyDescent="0.35">
      <c r="B49" s="24">
        <v>44528</v>
      </c>
      <c r="C49" s="7">
        <v>99.75</v>
      </c>
      <c r="D49" s="20">
        <f t="shared" si="0"/>
        <v>-1.1397423191278566E-2</v>
      </c>
      <c r="F49" s="7">
        <v>43232.83</v>
      </c>
      <c r="G49" s="20">
        <f t="shared" si="1"/>
        <v>-1.9978392425470726E-2</v>
      </c>
    </row>
    <row r="50" spans="2:7" x14ac:dyDescent="0.35">
      <c r="B50" s="24">
        <v>44535</v>
      </c>
      <c r="C50" s="7">
        <v>100.5</v>
      </c>
      <c r="D50" s="20">
        <f t="shared" si="0"/>
        <v>7.5187969924812581E-3</v>
      </c>
      <c r="F50" s="7">
        <v>43395.78</v>
      </c>
      <c r="G50" s="20">
        <f t="shared" si="1"/>
        <v>3.769126379189025E-3</v>
      </c>
    </row>
    <row r="51" spans="2:7" x14ac:dyDescent="0.35">
      <c r="B51" s="24">
        <v>44542</v>
      </c>
      <c r="C51" s="7">
        <v>98.91</v>
      </c>
      <c r="D51" s="20">
        <f t="shared" si="0"/>
        <v>-1.5820895522388079E-2</v>
      </c>
      <c r="F51" s="7">
        <v>43900.68</v>
      </c>
      <c r="G51" s="20">
        <f t="shared" si="1"/>
        <v>1.1634771860305371E-2</v>
      </c>
    </row>
    <row r="52" spans="2:7" x14ac:dyDescent="0.35">
      <c r="B52" s="24">
        <v>44549</v>
      </c>
      <c r="C52" s="7">
        <v>99</v>
      </c>
      <c r="D52" s="20">
        <f t="shared" si="0"/>
        <v>9.0991810737039991E-4</v>
      </c>
      <c r="F52" s="7">
        <v>44118.39</v>
      </c>
      <c r="G52" s="20">
        <f t="shared" si="1"/>
        <v>4.9591486965576692E-3</v>
      </c>
    </row>
    <row r="53" spans="2:7" x14ac:dyDescent="0.35">
      <c r="B53" s="24">
        <v>44556</v>
      </c>
      <c r="C53" s="7">
        <v>100.26</v>
      </c>
      <c r="D53" s="20">
        <f t="shared" si="0"/>
        <v>1.2727272727272698E-2</v>
      </c>
      <c r="F53" s="7">
        <v>44596.07</v>
      </c>
      <c r="G53" s="20">
        <f t="shared" si="1"/>
        <v>1.0827231002763282E-2</v>
      </c>
    </row>
    <row r="54" spans="2:7" x14ac:dyDescent="0.35">
      <c r="B54" s="24">
        <v>44563</v>
      </c>
      <c r="C54" s="7">
        <v>103.75</v>
      </c>
      <c r="D54" s="20">
        <f t="shared" si="0"/>
        <v>3.4809495312188243E-2</v>
      </c>
      <c r="F54" s="7">
        <v>45345.65</v>
      </c>
      <c r="G54" s="20">
        <f t="shared" si="1"/>
        <v>1.6808207539363851E-2</v>
      </c>
    </row>
    <row r="55" spans="2:7" x14ac:dyDescent="0.35">
      <c r="B55" s="24">
        <v>44570</v>
      </c>
      <c r="C55" s="7">
        <v>104.6</v>
      </c>
      <c r="D55" s="20">
        <f t="shared" si="0"/>
        <v>8.192771084337247E-3</v>
      </c>
      <c r="F55" s="7">
        <v>45763.45</v>
      </c>
      <c r="G55" s="20">
        <f t="shared" si="1"/>
        <v>9.2136731968777141E-3</v>
      </c>
    </row>
    <row r="56" spans="2:7" x14ac:dyDescent="0.35">
      <c r="B56" s="24">
        <v>44577</v>
      </c>
      <c r="C56" s="7">
        <v>104.2</v>
      </c>
      <c r="D56" s="20">
        <f t="shared" si="0"/>
        <v>-3.8240917782026429E-3</v>
      </c>
      <c r="F56" s="7">
        <v>45018.28</v>
      </c>
      <c r="G56" s="20">
        <f t="shared" si="1"/>
        <v>-1.6283081804365662E-2</v>
      </c>
    </row>
    <row r="57" spans="2:7" x14ac:dyDescent="0.35">
      <c r="B57" s="24">
        <v>44584</v>
      </c>
      <c r="C57" s="7">
        <v>106</v>
      </c>
      <c r="D57" s="20">
        <f t="shared" si="0"/>
        <v>1.7274472168905985E-2</v>
      </c>
      <c r="F57" s="7">
        <v>45077.91</v>
      </c>
      <c r="G57" s="20">
        <f t="shared" si="1"/>
        <v>1.3245730401074685E-3</v>
      </c>
    </row>
    <row r="58" spans="2:7" x14ac:dyDescent="0.35">
      <c r="B58" s="24">
        <v>44591</v>
      </c>
      <c r="C58" s="7">
        <v>109.04</v>
      </c>
      <c r="D58" s="20">
        <f t="shared" si="0"/>
        <v>2.8679245283018906E-2</v>
      </c>
      <c r="F58" s="7">
        <v>45909.65</v>
      </c>
      <c r="G58" s="20">
        <f t="shared" si="1"/>
        <v>1.8451165992389607E-2</v>
      </c>
    </row>
    <row r="59" spans="2:7" x14ac:dyDescent="0.35">
      <c r="B59" s="24">
        <v>44598</v>
      </c>
      <c r="C59" s="7">
        <v>110.65</v>
      </c>
      <c r="D59" s="20">
        <f t="shared" si="0"/>
        <v>1.4765223771093128E-2</v>
      </c>
      <c r="F59" s="7">
        <v>46079.37</v>
      </c>
      <c r="G59" s="20">
        <f t="shared" si="1"/>
        <v>3.6968262663732432E-3</v>
      </c>
    </row>
    <row r="60" spans="2:7" x14ac:dyDescent="0.35">
      <c r="B60" s="24">
        <v>44605</v>
      </c>
      <c r="C60" s="7">
        <v>110.1</v>
      </c>
      <c r="D60" s="20">
        <f t="shared" si="0"/>
        <v>-4.9706281066426161E-3</v>
      </c>
      <c r="F60" s="7">
        <v>45675.87</v>
      </c>
      <c r="G60" s="20">
        <f t="shared" si="1"/>
        <v>-8.7566301362193011E-3</v>
      </c>
    </row>
    <row r="61" spans="2:7" x14ac:dyDescent="0.35">
      <c r="B61" s="24">
        <v>44612</v>
      </c>
      <c r="C61" s="7">
        <v>108.2</v>
      </c>
      <c r="D61" s="20">
        <f t="shared" si="0"/>
        <v>-1.72570390554041E-2</v>
      </c>
      <c r="F61" s="7">
        <v>43984.24</v>
      </c>
      <c r="G61" s="20">
        <f t="shared" si="1"/>
        <v>-3.7035528825176245E-2</v>
      </c>
    </row>
    <row r="62" spans="2:7" x14ac:dyDescent="0.35">
      <c r="B62" s="24">
        <v>44619</v>
      </c>
      <c r="C62" s="7">
        <v>108.49</v>
      </c>
      <c r="D62" s="20">
        <f t="shared" si="0"/>
        <v>2.680221811460104E-3</v>
      </c>
      <c r="F62" s="7">
        <v>44551.35</v>
      </c>
      <c r="G62" s="20">
        <f t="shared" si="1"/>
        <v>1.2893481847134458E-2</v>
      </c>
    </row>
    <row r="63" spans="2:7" x14ac:dyDescent="0.35">
      <c r="B63" s="24">
        <v>44626</v>
      </c>
      <c r="C63" s="7">
        <v>107.24</v>
      </c>
      <c r="D63" s="20">
        <f t="shared" si="0"/>
        <v>-1.1521799244169961E-2</v>
      </c>
      <c r="F63" s="7">
        <v>43653.33</v>
      </c>
      <c r="G63" s="20">
        <f t="shared" si="1"/>
        <v>-2.0156964940456268E-2</v>
      </c>
    </row>
    <row r="64" spans="2:7" x14ac:dyDescent="0.35">
      <c r="B64" s="24">
        <v>44633</v>
      </c>
      <c r="C64" s="7">
        <v>107.73</v>
      </c>
      <c r="D64" s="20">
        <f t="shared" si="0"/>
        <v>4.5691906005222993E-3</v>
      </c>
      <c r="F64" s="7">
        <v>43029.97</v>
      </c>
      <c r="G64" s="20">
        <f t="shared" si="1"/>
        <v>-1.4279781175914885E-2</v>
      </c>
    </row>
    <row r="65" spans="2:7" x14ac:dyDescent="0.35">
      <c r="B65" s="24">
        <v>44640</v>
      </c>
      <c r="C65" s="7">
        <v>111.5</v>
      </c>
      <c r="D65" s="20">
        <f t="shared" si="0"/>
        <v>3.4994894644017505E-2</v>
      </c>
      <c r="F65" s="7">
        <v>43551.14</v>
      </c>
      <c r="G65" s="20">
        <f t="shared" si="1"/>
        <v>1.2111790921536691E-2</v>
      </c>
    </row>
    <row r="66" spans="2:7" x14ac:dyDescent="0.35">
      <c r="B66" s="24">
        <v>44647</v>
      </c>
      <c r="C66" s="7">
        <v>114.2</v>
      </c>
      <c r="D66" s="20">
        <f t="shared" si="0"/>
        <v>2.4215246636771326E-2</v>
      </c>
      <c r="F66" s="7">
        <v>45152.11</v>
      </c>
      <c r="G66" s="20">
        <f t="shared" si="1"/>
        <v>3.6760690994541267E-2</v>
      </c>
    </row>
    <row r="67" spans="2:7" x14ac:dyDescent="0.35">
      <c r="B67" s="24">
        <v>44654</v>
      </c>
      <c r="C67" s="7">
        <v>115.4</v>
      </c>
      <c r="D67" s="20">
        <f t="shared" si="0"/>
        <v>1.0507880910683109E-2</v>
      </c>
      <c r="F67" s="7">
        <v>44444.58</v>
      </c>
      <c r="G67" s="20">
        <f t="shared" si="1"/>
        <v>-1.5669921073455884E-2</v>
      </c>
    </row>
    <row r="68" spans="2:7" x14ac:dyDescent="0.35">
      <c r="B68" s="24">
        <v>44661</v>
      </c>
      <c r="C68" s="7">
        <v>119.45</v>
      </c>
      <c r="D68" s="20">
        <f t="shared" si="0"/>
        <v>3.5095320623916848E-2</v>
      </c>
      <c r="F68" s="7">
        <v>46601.54</v>
      </c>
      <c r="G68" s="20">
        <f t="shared" si="1"/>
        <v>4.8531451979071383E-2</v>
      </c>
    </row>
    <row r="69" spans="2:7" x14ac:dyDescent="0.35">
      <c r="B69" s="24">
        <v>44668</v>
      </c>
      <c r="C69" s="7">
        <v>122</v>
      </c>
      <c r="D69" s="20">
        <f t="shared" si="0"/>
        <v>2.1347844286312201E-2</v>
      </c>
      <c r="F69" s="7">
        <v>45553.02</v>
      </c>
      <c r="G69" s="20">
        <f t="shared" si="1"/>
        <v>-2.2499685632706656E-2</v>
      </c>
    </row>
    <row r="70" spans="2:7" x14ac:dyDescent="0.35">
      <c r="B70" s="24">
        <v>44675</v>
      </c>
      <c r="C70" s="7">
        <v>121</v>
      </c>
      <c r="D70" s="20">
        <f t="shared" si="0"/>
        <v>-8.1967213114754189E-3</v>
      </c>
      <c r="F70" s="7">
        <v>45249.41</v>
      </c>
      <c r="G70" s="20">
        <f t="shared" si="1"/>
        <v>-6.6649807191706545E-3</v>
      </c>
    </row>
    <row r="71" spans="2:7" x14ac:dyDescent="0.35">
      <c r="B71" s="24">
        <v>44682</v>
      </c>
      <c r="C71" s="7">
        <v>121.17</v>
      </c>
      <c r="D71" s="20">
        <f t="shared" si="0"/>
        <v>1.4049586776858636E-3</v>
      </c>
      <c r="F71" s="7">
        <v>44840.81</v>
      </c>
      <c r="G71" s="20">
        <f t="shared" ref="G71:G134" si="2">F71/F70 -1</f>
        <v>-9.0299519927443672E-3</v>
      </c>
    </row>
    <row r="72" spans="2:7" x14ac:dyDescent="0.35">
      <c r="B72" s="24">
        <v>44689</v>
      </c>
      <c r="C72" s="7">
        <v>115.84</v>
      </c>
      <c r="D72" s="20">
        <f t="shared" ref="D72:D135" si="3">C72/C71 -1</f>
        <v>-4.3987785755550068E-2</v>
      </c>
      <c r="F72" s="7">
        <v>43486.46</v>
      </c>
      <c r="G72" s="20">
        <f t="shared" si="2"/>
        <v>-3.0203513272842319E-2</v>
      </c>
    </row>
    <row r="73" spans="2:7" x14ac:dyDescent="0.35">
      <c r="B73" s="24">
        <v>44696</v>
      </c>
      <c r="C73" s="7">
        <v>118.3</v>
      </c>
      <c r="D73" s="20">
        <f t="shared" si="3"/>
        <v>2.1236187845303789E-2</v>
      </c>
      <c r="F73" s="7">
        <v>43100.7</v>
      </c>
      <c r="G73" s="20">
        <f t="shared" si="2"/>
        <v>-8.8708071431889968E-3</v>
      </c>
    </row>
    <row r="74" spans="2:7" x14ac:dyDescent="0.35">
      <c r="B74" s="24">
        <v>44703</v>
      </c>
      <c r="C74" s="7">
        <v>114.55</v>
      </c>
      <c r="D74" s="20">
        <f t="shared" si="3"/>
        <v>-3.1699070160608578E-2</v>
      </c>
      <c r="F74" s="7">
        <v>42861.45</v>
      </c>
      <c r="G74" s="20">
        <f t="shared" si="2"/>
        <v>-5.550953928822544E-3</v>
      </c>
    </row>
    <row r="75" spans="2:7" x14ac:dyDescent="0.35">
      <c r="B75" s="24">
        <v>44710</v>
      </c>
      <c r="C75" s="7">
        <v>109.88</v>
      </c>
      <c r="D75" s="20">
        <f t="shared" si="3"/>
        <v>-4.0768223483195087E-2</v>
      </c>
      <c r="F75" s="7">
        <v>41314.879999999997</v>
      </c>
      <c r="G75" s="20">
        <f t="shared" si="2"/>
        <v>-3.6083006991130762E-2</v>
      </c>
    </row>
    <row r="76" spans="2:7" x14ac:dyDescent="0.35">
      <c r="B76" s="24">
        <v>44717</v>
      </c>
      <c r="C76" s="7">
        <v>110.09</v>
      </c>
      <c r="D76" s="20">
        <f t="shared" si="3"/>
        <v>1.911175828176237E-3</v>
      </c>
      <c r="F76" s="7">
        <v>42014.73</v>
      </c>
      <c r="G76" s="20">
        <f t="shared" si="2"/>
        <v>1.6939417468960549E-2</v>
      </c>
    </row>
    <row r="77" spans="2:7" x14ac:dyDescent="0.35">
      <c r="B77" s="24">
        <v>44724</v>
      </c>
      <c r="C77" s="7">
        <v>110.84</v>
      </c>
      <c r="D77" s="20">
        <f t="shared" si="3"/>
        <v>6.8126078662911205E-3</v>
      </c>
      <c r="F77" s="7">
        <v>42140.76</v>
      </c>
      <c r="G77" s="20">
        <f t="shared" si="2"/>
        <v>2.9996622613068791E-3</v>
      </c>
    </row>
    <row r="78" spans="2:7" x14ac:dyDescent="0.35">
      <c r="B78" s="24">
        <v>44731</v>
      </c>
      <c r="C78" s="7">
        <v>111.39</v>
      </c>
      <c r="D78" s="20">
        <f t="shared" si="3"/>
        <v>4.9621075424033378E-3</v>
      </c>
      <c r="F78" s="7">
        <v>41051.79</v>
      </c>
      <c r="G78" s="20">
        <f t="shared" si="2"/>
        <v>-2.5841252032474005E-2</v>
      </c>
    </row>
    <row r="79" spans="2:7" x14ac:dyDescent="0.35">
      <c r="B79" s="24">
        <v>44738</v>
      </c>
      <c r="C79" s="7">
        <v>111.86</v>
      </c>
      <c r="D79" s="20">
        <f t="shared" si="3"/>
        <v>4.2194092827003704E-3</v>
      </c>
      <c r="F79" s="7">
        <v>41630.35</v>
      </c>
      <c r="G79" s="20">
        <f t="shared" si="2"/>
        <v>1.4093417120179197E-2</v>
      </c>
    </row>
    <row r="80" spans="2:7" x14ac:dyDescent="0.35">
      <c r="B80" s="24">
        <v>44745</v>
      </c>
      <c r="C80" s="7">
        <v>111.5</v>
      </c>
      <c r="D80" s="20">
        <f t="shared" si="3"/>
        <v>-3.2183086000358019E-3</v>
      </c>
      <c r="F80" s="7">
        <v>41344.01</v>
      </c>
      <c r="G80" s="20">
        <f t="shared" si="2"/>
        <v>-6.8781549998978564E-3</v>
      </c>
    </row>
    <row r="81" spans="2:7" x14ac:dyDescent="0.35">
      <c r="B81" s="24">
        <v>44752</v>
      </c>
      <c r="C81" s="7">
        <v>111.1</v>
      </c>
      <c r="D81" s="20">
        <f t="shared" si="3"/>
        <v>-3.5874439461883734E-3</v>
      </c>
      <c r="F81" s="7">
        <v>42074.91</v>
      </c>
      <c r="G81" s="20">
        <f t="shared" si="2"/>
        <v>1.7678498046028945E-2</v>
      </c>
    </row>
    <row r="82" spans="2:7" x14ac:dyDescent="0.35">
      <c r="B82" s="24">
        <v>44759</v>
      </c>
      <c r="C82" s="7">
        <v>105.99</v>
      </c>
      <c r="D82" s="20">
        <f t="shared" si="3"/>
        <v>-4.5994599459945995E-2</v>
      </c>
      <c r="F82" s="7">
        <v>40077.300000000003</v>
      </c>
      <c r="G82" s="20">
        <f t="shared" si="2"/>
        <v>-4.7477463409903886E-2</v>
      </c>
    </row>
    <row r="83" spans="2:7" x14ac:dyDescent="0.35">
      <c r="B83" s="24">
        <v>44766</v>
      </c>
      <c r="C83" s="7">
        <v>103.51</v>
      </c>
      <c r="D83" s="20">
        <f t="shared" si="3"/>
        <v>-2.3398433814510677E-2</v>
      </c>
      <c r="F83" s="7">
        <v>40150.36</v>
      </c>
      <c r="G83" s="20">
        <f t="shared" si="2"/>
        <v>1.8229770967603809E-3</v>
      </c>
    </row>
    <row r="84" spans="2:7" x14ac:dyDescent="0.35">
      <c r="B84" s="24">
        <v>44773</v>
      </c>
      <c r="C84" s="7">
        <v>103.91</v>
      </c>
      <c r="D84" s="20">
        <f t="shared" si="3"/>
        <v>3.8643609313109284E-3</v>
      </c>
      <c r="F84" s="7">
        <v>42096.24</v>
      </c>
      <c r="G84" s="20">
        <f t="shared" si="2"/>
        <v>4.8464820738842729E-2</v>
      </c>
    </row>
    <row r="85" spans="2:7" x14ac:dyDescent="0.35">
      <c r="B85" s="24">
        <v>44780</v>
      </c>
      <c r="C85" s="7">
        <v>104.41</v>
      </c>
      <c r="D85" s="20">
        <f t="shared" si="3"/>
        <v>4.8118564142045628E-3</v>
      </c>
      <c r="F85" s="7">
        <v>42857.57</v>
      </c>
      <c r="G85" s="20">
        <f t="shared" si="2"/>
        <v>1.8085463214766895E-2</v>
      </c>
    </row>
    <row r="86" spans="2:7" x14ac:dyDescent="0.35">
      <c r="B86" s="24">
        <v>44787</v>
      </c>
      <c r="C86" s="7">
        <v>102.01</v>
      </c>
      <c r="D86" s="20">
        <f t="shared" si="3"/>
        <v>-2.298630399387025E-2</v>
      </c>
      <c r="F86" s="7">
        <v>43270.65</v>
      </c>
      <c r="G86" s="20">
        <f t="shared" si="2"/>
        <v>9.6384372702418286E-3</v>
      </c>
    </row>
    <row r="87" spans="2:7" x14ac:dyDescent="0.35">
      <c r="B87" s="24">
        <v>44794</v>
      </c>
      <c r="C87" s="7">
        <v>103.6</v>
      </c>
      <c r="D87" s="20">
        <f t="shared" si="3"/>
        <v>1.5586707185569981E-2</v>
      </c>
      <c r="F87" s="7">
        <v>42591.51</v>
      </c>
      <c r="G87" s="20">
        <f t="shared" si="2"/>
        <v>-1.5695165198581496E-2</v>
      </c>
    </row>
    <row r="88" spans="2:7" x14ac:dyDescent="0.35">
      <c r="B88" s="24">
        <v>44801</v>
      </c>
      <c r="C88" s="7">
        <v>103.07</v>
      </c>
      <c r="D88" s="20">
        <f t="shared" si="3"/>
        <v>-5.1158301158301667E-3</v>
      </c>
      <c r="F88" s="7">
        <v>42309.11</v>
      </c>
      <c r="G88" s="20">
        <f t="shared" si="2"/>
        <v>-6.6304293977837991E-3</v>
      </c>
    </row>
    <row r="89" spans="2:7" x14ac:dyDescent="0.35">
      <c r="B89" s="24">
        <v>44808</v>
      </c>
      <c r="C89" s="7">
        <v>102.9</v>
      </c>
      <c r="D89" s="20">
        <f t="shared" si="3"/>
        <v>-1.6493645095564391E-3</v>
      </c>
      <c r="F89" s="7">
        <v>41948.160000000003</v>
      </c>
      <c r="G89" s="20">
        <f t="shared" si="2"/>
        <v>-8.531259579792505E-3</v>
      </c>
    </row>
    <row r="90" spans="2:7" x14ac:dyDescent="0.35">
      <c r="B90" s="24">
        <v>44815</v>
      </c>
      <c r="C90" s="7">
        <v>100.2</v>
      </c>
      <c r="D90" s="20">
        <f t="shared" si="3"/>
        <v>-2.6239067055393583E-2</v>
      </c>
      <c r="F90" s="7">
        <v>41679.49</v>
      </c>
      <c r="G90" s="20">
        <f t="shared" si="2"/>
        <v>-6.4048101275480107E-3</v>
      </c>
    </row>
    <row r="91" spans="2:7" x14ac:dyDescent="0.35">
      <c r="B91" s="24">
        <v>44822</v>
      </c>
      <c r="C91" s="7">
        <v>100.5</v>
      </c>
      <c r="D91" s="20">
        <f t="shared" si="3"/>
        <v>2.9940119760478723E-3</v>
      </c>
      <c r="F91" s="7">
        <v>40620.21</v>
      </c>
      <c r="G91" s="20">
        <f t="shared" si="2"/>
        <v>-2.5414898310895828E-2</v>
      </c>
    </row>
    <row r="92" spans="2:7" x14ac:dyDescent="0.35">
      <c r="B92" s="24">
        <v>44829</v>
      </c>
      <c r="C92" s="7">
        <v>101.31</v>
      </c>
      <c r="D92" s="20">
        <f t="shared" si="3"/>
        <v>8.05970149253743E-3</v>
      </c>
      <c r="F92" s="7">
        <v>41128.67</v>
      </c>
      <c r="G92" s="20">
        <f t="shared" si="2"/>
        <v>1.2517414360979418E-2</v>
      </c>
    </row>
    <row r="93" spans="2:7" x14ac:dyDescent="0.35">
      <c r="B93" s="24">
        <v>44836</v>
      </c>
      <c r="C93" s="7">
        <v>101.85</v>
      </c>
      <c r="D93" s="20">
        <f t="shared" si="3"/>
        <v>5.3301747112821651E-3</v>
      </c>
      <c r="F93" s="7">
        <v>42085.25</v>
      </c>
      <c r="G93" s="20">
        <f t="shared" si="2"/>
        <v>2.3258228384239077E-2</v>
      </c>
    </row>
    <row r="94" spans="2:7" x14ac:dyDescent="0.35">
      <c r="B94" s="24">
        <v>44843</v>
      </c>
      <c r="C94" s="7">
        <v>101.91</v>
      </c>
      <c r="D94" s="20">
        <f t="shared" si="3"/>
        <v>5.8910162002945299E-4</v>
      </c>
      <c r="F94" s="7">
        <v>41948.5</v>
      </c>
      <c r="G94" s="20">
        <f t="shared" si="2"/>
        <v>-3.2493569599800765E-3</v>
      </c>
    </row>
    <row r="95" spans="2:7" x14ac:dyDescent="0.35">
      <c r="B95" s="24">
        <v>44850</v>
      </c>
      <c r="C95" s="7">
        <v>102.56</v>
      </c>
      <c r="D95" s="20">
        <f t="shared" si="3"/>
        <v>6.3781768226867097E-3</v>
      </c>
      <c r="F95" s="7">
        <v>42213.48</v>
      </c>
      <c r="G95" s="20">
        <f t="shared" si="2"/>
        <v>6.3167932107226488E-3</v>
      </c>
    </row>
    <row r="96" spans="2:7" x14ac:dyDescent="0.35">
      <c r="B96" s="24">
        <v>44857</v>
      </c>
      <c r="C96" s="7">
        <v>103.49</v>
      </c>
      <c r="D96" s="20">
        <f t="shared" si="3"/>
        <v>9.0678627145084345E-3</v>
      </c>
      <c r="F96" s="7">
        <v>41140.33</v>
      </c>
      <c r="G96" s="20">
        <f t="shared" si="2"/>
        <v>-2.5421974212976539E-2</v>
      </c>
    </row>
    <row r="97" spans="2:7" x14ac:dyDescent="0.35">
      <c r="B97" s="24">
        <v>44864</v>
      </c>
      <c r="C97" s="7">
        <v>102.02</v>
      </c>
      <c r="D97" s="20">
        <f t="shared" si="3"/>
        <v>-1.4204270944052522E-2</v>
      </c>
      <c r="F97" s="7">
        <v>41856.31</v>
      </c>
      <c r="G97" s="20">
        <f t="shared" si="2"/>
        <v>1.7403360643922783E-2</v>
      </c>
    </row>
    <row r="98" spans="2:7" x14ac:dyDescent="0.35">
      <c r="B98" s="24">
        <v>44871</v>
      </c>
      <c r="C98" s="7">
        <v>102.02</v>
      </c>
      <c r="D98" s="20">
        <f t="shared" si="3"/>
        <v>0</v>
      </c>
      <c r="F98" s="7">
        <v>43092.95</v>
      </c>
      <c r="G98" s="20">
        <f t="shared" si="2"/>
        <v>2.9544888213987264E-2</v>
      </c>
    </row>
    <row r="99" spans="2:7" x14ac:dyDescent="0.35">
      <c r="B99" s="24">
        <v>44878</v>
      </c>
      <c r="C99" s="7">
        <v>102.75</v>
      </c>
      <c r="D99" s="20">
        <f t="shared" si="3"/>
        <v>7.1554597137817311E-3</v>
      </c>
      <c r="F99" s="7">
        <v>42730.239999999998</v>
      </c>
      <c r="G99" s="20">
        <f t="shared" si="2"/>
        <v>-8.4169220255285726E-3</v>
      </c>
    </row>
    <row r="100" spans="2:7" x14ac:dyDescent="0.35">
      <c r="B100" s="24">
        <v>44885</v>
      </c>
      <c r="C100" s="7">
        <v>102.98</v>
      </c>
      <c r="D100" s="20">
        <f t="shared" si="3"/>
        <v>2.238442822384501E-3</v>
      </c>
      <c r="F100" s="7">
        <v>42936.73</v>
      </c>
      <c r="G100" s="20">
        <f t="shared" si="2"/>
        <v>4.8324090854627855E-3</v>
      </c>
    </row>
    <row r="101" spans="2:7" x14ac:dyDescent="0.35">
      <c r="B101" s="24">
        <v>44892</v>
      </c>
      <c r="C101" s="7">
        <v>102.63</v>
      </c>
      <c r="D101" s="20">
        <f t="shared" si="3"/>
        <v>-3.398718197708428E-3</v>
      </c>
      <c r="F101" s="7">
        <v>42150.1</v>
      </c>
      <c r="G101" s="20">
        <f t="shared" si="2"/>
        <v>-1.8320677890468207E-2</v>
      </c>
    </row>
    <row r="102" spans="2:7" x14ac:dyDescent="0.35">
      <c r="B102" s="24">
        <v>44899</v>
      </c>
      <c r="C102" s="7">
        <v>102.5</v>
      </c>
      <c r="D102" s="20">
        <f t="shared" si="3"/>
        <v>-1.2666861541459351E-3</v>
      </c>
      <c r="F102" s="7">
        <v>41698.28</v>
      </c>
      <c r="G102" s="20">
        <f t="shared" si="2"/>
        <v>-1.0719310274471483E-2</v>
      </c>
    </row>
    <row r="103" spans="2:7" x14ac:dyDescent="0.35">
      <c r="B103" s="24">
        <v>44906</v>
      </c>
      <c r="C103" s="7">
        <v>102.25</v>
      </c>
      <c r="D103" s="20">
        <f t="shared" si="3"/>
        <v>-2.4390243902439046E-3</v>
      </c>
      <c r="F103" s="7">
        <v>41301.480000000003</v>
      </c>
      <c r="G103" s="20">
        <f t="shared" si="2"/>
        <v>-9.5159800356272584E-3</v>
      </c>
    </row>
    <row r="104" spans="2:7" x14ac:dyDescent="0.35">
      <c r="B104" s="24">
        <v>44913</v>
      </c>
      <c r="C104" s="7">
        <v>100.14</v>
      </c>
      <c r="D104" s="20">
        <f t="shared" si="3"/>
        <v>-2.0635696821515892E-2</v>
      </c>
      <c r="F104" s="7">
        <v>39669.199999999997</v>
      </c>
      <c r="G104" s="20">
        <f t="shared" si="2"/>
        <v>-3.9521101907244116E-2</v>
      </c>
    </row>
    <row r="105" spans="2:7" x14ac:dyDescent="0.35">
      <c r="B105" s="24">
        <v>44920</v>
      </c>
      <c r="C105" s="7">
        <v>98.71</v>
      </c>
      <c r="D105" s="20">
        <f t="shared" si="3"/>
        <v>-1.4280007988815679E-2</v>
      </c>
      <c r="F105" s="7">
        <v>40420.449999999997</v>
      </c>
      <c r="G105" s="20">
        <f t="shared" si="2"/>
        <v>1.8937866153086125E-2</v>
      </c>
    </row>
    <row r="106" spans="2:7" x14ac:dyDescent="0.35">
      <c r="B106" s="24">
        <v>44927</v>
      </c>
      <c r="C106" s="7">
        <v>102.37</v>
      </c>
      <c r="D106" s="20">
        <f t="shared" si="3"/>
        <v>3.7078310201600795E-2</v>
      </c>
      <c r="F106" s="7">
        <v>41007.519999999997</v>
      </c>
      <c r="G106" s="20">
        <f t="shared" si="2"/>
        <v>1.4524083724946069E-2</v>
      </c>
    </row>
    <row r="107" spans="2:7" x14ac:dyDescent="0.35">
      <c r="B107" s="24">
        <v>44934</v>
      </c>
      <c r="C107" s="7">
        <v>101</v>
      </c>
      <c r="D107" s="20">
        <f t="shared" si="3"/>
        <v>-1.3382827000097741E-2</v>
      </c>
      <c r="F107" s="7">
        <v>40323.449999999997</v>
      </c>
      <c r="G107" s="20">
        <f t="shared" si="2"/>
        <v>-1.6681574501457241E-2</v>
      </c>
    </row>
    <row r="108" spans="2:7" x14ac:dyDescent="0.35">
      <c r="B108" s="24">
        <v>44941</v>
      </c>
      <c r="C108" s="7">
        <v>100.99</v>
      </c>
      <c r="D108" s="20">
        <f t="shared" si="3"/>
        <v>-9.9009900990099098E-5</v>
      </c>
      <c r="F108" s="7">
        <v>38407.980000000003</v>
      </c>
      <c r="G108" s="20">
        <f t="shared" si="2"/>
        <v>-4.7502631843257315E-2</v>
      </c>
    </row>
    <row r="109" spans="2:7" x14ac:dyDescent="0.35">
      <c r="B109" s="24">
        <v>44948</v>
      </c>
      <c r="C109" s="7">
        <v>105.52</v>
      </c>
      <c r="D109" s="20">
        <f t="shared" si="3"/>
        <v>4.4855926329339546E-2</v>
      </c>
      <c r="F109" s="7">
        <v>40450.53</v>
      </c>
      <c r="G109" s="20">
        <f t="shared" si="2"/>
        <v>5.3180354707537125E-2</v>
      </c>
    </row>
    <row r="110" spans="2:7" x14ac:dyDescent="0.35">
      <c r="B110" s="24">
        <v>44955</v>
      </c>
      <c r="C110" s="7">
        <v>102.39</v>
      </c>
      <c r="D110" s="20">
        <f t="shared" si="3"/>
        <v>-2.966262319939339E-2</v>
      </c>
      <c r="F110" s="7">
        <v>40471.160000000003</v>
      </c>
      <c r="G110" s="20">
        <f t="shared" si="2"/>
        <v>5.1000567854120327E-4</v>
      </c>
    </row>
    <row r="111" spans="2:7" x14ac:dyDescent="0.35">
      <c r="B111" s="24">
        <v>44962</v>
      </c>
      <c r="C111" s="7">
        <v>102.5</v>
      </c>
      <c r="D111" s="20">
        <f t="shared" si="3"/>
        <v>1.0743236644203957E-3</v>
      </c>
      <c r="F111" s="7">
        <v>41741.78</v>
      </c>
      <c r="G111" s="20">
        <f t="shared" si="2"/>
        <v>3.1395690165539891E-2</v>
      </c>
    </row>
    <row r="112" spans="2:7" x14ac:dyDescent="0.35">
      <c r="B112" s="24">
        <v>44969</v>
      </c>
      <c r="C112" s="7">
        <v>102.75</v>
      </c>
      <c r="D112" s="20">
        <f t="shared" si="3"/>
        <v>2.4390243902439046E-3</v>
      </c>
      <c r="F112" s="7">
        <v>41118.61</v>
      </c>
      <c r="G112" s="20">
        <f t="shared" si="2"/>
        <v>-1.4929166892259982E-2</v>
      </c>
    </row>
    <row r="113" spans="2:7" x14ac:dyDescent="0.35">
      <c r="B113" s="24">
        <v>44976</v>
      </c>
      <c r="C113" s="7">
        <v>102</v>
      </c>
      <c r="D113" s="20">
        <f t="shared" si="3"/>
        <v>-7.2992700729926918E-3</v>
      </c>
      <c r="F113" s="7">
        <v>40707.760000000002</v>
      </c>
      <c r="G113" s="20">
        <f t="shared" si="2"/>
        <v>-9.9918260855607066E-3</v>
      </c>
    </row>
    <row r="114" spans="2:7" x14ac:dyDescent="0.35">
      <c r="B114" s="24">
        <v>44983</v>
      </c>
      <c r="C114" s="7">
        <v>102.3</v>
      </c>
      <c r="D114" s="20">
        <f t="shared" si="3"/>
        <v>2.9411764705882248E-3</v>
      </c>
      <c r="F114" s="7">
        <v>41337</v>
      </c>
      <c r="G114" s="20">
        <f t="shared" si="2"/>
        <v>1.5457495082018768E-2</v>
      </c>
    </row>
    <row r="115" spans="2:7" x14ac:dyDescent="0.35">
      <c r="B115" s="24">
        <v>44990</v>
      </c>
      <c r="C115" s="7">
        <v>102.59</v>
      </c>
      <c r="D115" s="20">
        <f t="shared" si="3"/>
        <v>2.8347996089932437E-3</v>
      </c>
      <c r="F115" s="7">
        <v>41793.870000000003</v>
      </c>
      <c r="G115" s="20">
        <f t="shared" si="2"/>
        <v>1.1052326003338386E-2</v>
      </c>
    </row>
    <row r="116" spans="2:7" x14ac:dyDescent="0.35">
      <c r="B116" s="24">
        <v>44997</v>
      </c>
      <c r="C116" s="7">
        <v>101.11</v>
      </c>
      <c r="D116" s="20">
        <f t="shared" si="3"/>
        <v>-1.4426357344770491E-2</v>
      </c>
      <c r="F116" s="7">
        <v>41329.949999999997</v>
      </c>
      <c r="G116" s="20">
        <f t="shared" si="2"/>
        <v>-1.1100192444490231E-2</v>
      </c>
    </row>
    <row r="117" spans="2:7" x14ac:dyDescent="0.35">
      <c r="B117" s="24">
        <v>45004</v>
      </c>
      <c r="C117" s="7">
        <v>97.5</v>
      </c>
      <c r="D117" s="20">
        <f t="shared" si="3"/>
        <v>-3.5703689051527987E-2</v>
      </c>
      <c r="F117" s="7">
        <v>39942.050000000003</v>
      </c>
      <c r="G117" s="20">
        <f t="shared" si="2"/>
        <v>-3.3580974571708722E-2</v>
      </c>
    </row>
    <row r="118" spans="2:7" x14ac:dyDescent="0.35">
      <c r="B118" s="24">
        <v>45011</v>
      </c>
      <c r="C118" s="7">
        <v>99.88</v>
      </c>
      <c r="D118" s="20">
        <f t="shared" si="3"/>
        <v>2.4410256410256403E-2</v>
      </c>
      <c r="F118" s="7">
        <v>40000.83</v>
      </c>
      <c r="G118" s="20">
        <f t="shared" si="2"/>
        <v>1.471632026899039E-3</v>
      </c>
    </row>
    <row r="119" spans="2:7" x14ac:dyDescent="0.35">
      <c r="B119" s="24">
        <v>45018</v>
      </c>
      <c r="C119" s="7">
        <v>99.49</v>
      </c>
      <c r="D119" s="20">
        <f t="shared" si="3"/>
        <v>-3.9046856227472615E-3</v>
      </c>
      <c r="F119" s="7">
        <v>40049.65</v>
      </c>
      <c r="G119" s="20">
        <f t="shared" si="2"/>
        <v>1.220474675150518E-3</v>
      </c>
    </row>
    <row r="120" spans="2:7" x14ac:dyDescent="0.35">
      <c r="B120" s="24">
        <v>45025</v>
      </c>
      <c r="C120" s="7">
        <v>99.3</v>
      </c>
      <c r="D120" s="20">
        <f t="shared" si="3"/>
        <v>-1.9097396723288806E-3</v>
      </c>
      <c r="F120" s="7">
        <v>40205.54</v>
      </c>
      <c r="G120" s="20">
        <f t="shared" si="2"/>
        <v>3.8924185354927143E-3</v>
      </c>
    </row>
    <row r="121" spans="2:7" x14ac:dyDescent="0.35">
      <c r="B121" s="24">
        <v>45032</v>
      </c>
      <c r="C121" s="7">
        <v>101.25</v>
      </c>
      <c r="D121" s="20">
        <f t="shared" si="3"/>
        <v>1.9637462235649661E-2</v>
      </c>
      <c r="F121" s="7">
        <v>41007.82</v>
      </c>
      <c r="G121" s="20">
        <f t="shared" si="2"/>
        <v>1.9954463986803672E-2</v>
      </c>
    </row>
    <row r="122" spans="2:7" x14ac:dyDescent="0.35">
      <c r="B122" s="24">
        <v>45039</v>
      </c>
      <c r="C122" s="7">
        <v>103</v>
      </c>
      <c r="D122" s="20">
        <f t="shared" si="3"/>
        <v>1.7283950617283939E-2</v>
      </c>
      <c r="F122" s="7">
        <v>41580.85</v>
      </c>
      <c r="G122" s="20">
        <f t="shared" si="2"/>
        <v>1.397367624028778E-2</v>
      </c>
    </row>
    <row r="123" spans="2:7" x14ac:dyDescent="0.35">
      <c r="B123" s="24">
        <v>45046</v>
      </c>
      <c r="C123" s="7">
        <v>103.49</v>
      </c>
      <c r="D123" s="20">
        <f t="shared" si="3"/>
        <v>4.7572815533980517E-3</v>
      </c>
      <c r="F123" s="7">
        <v>42241.98</v>
      </c>
      <c r="G123" s="20">
        <f t="shared" si="2"/>
        <v>1.5899867366828913E-2</v>
      </c>
    </row>
    <row r="124" spans="2:7" x14ac:dyDescent="0.35">
      <c r="B124" s="24">
        <v>45053</v>
      </c>
      <c r="C124" s="7">
        <v>100.25</v>
      </c>
      <c r="D124" s="20">
        <f t="shared" si="3"/>
        <v>-3.1307372693013757E-2</v>
      </c>
      <c r="F124" s="7">
        <v>41487.58</v>
      </c>
      <c r="G124" s="20">
        <f t="shared" si="2"/>
        <v>-1.7859011343691833E-2</v>
      </c>
    </row>
    <row r="125" spans="2:7" x14ac:dyDescent="0.35">
      <c r="B125" s="24">
        <v>45060</v>
      </c>
      <c r="C125" s="7">
        <v>102.99</v>
      </c>
      <c r="D125" s="20">
        <f t="shared" si="3"/>
        <v>2.7331670822942522E-2</v>
      </c>
      <c r="F125" s="7">
        <v>41614.870000000003</v>
      </c>
      <c r="G125" s="20">
        <f t="shared" si="2"/>
        <v>3.0681471418676498E-3</v>
      </c>
    </row>
    <row r="126" spans="2:7" x14ac:dyDescent="0.35">
      <c r="B126" s="24">
        <v>45067</v>
      </c>
      <c r="C126" s="7">
        <v>101.74</v>
      </c>
      <c r="D126" s="20">
        <f t="shared" si="3"/>
        <v>-1.2137100689387337E-2</v>
      </c>
      <c r="F126" s="7">
        <v>41002.6</v>
      </c>
      <c r="G126" s="20">
        <f t="shared" si="2"/>
        <v>-1.4712769738317144E-2</v>
      </c>
    </row>
    <row r="127" spans="2:7" x14ac:dyDescent="0.35">
      <c r="B127" s="24">
        <v>45074</v>
      </c>
      <c r="C127" s="7">
        <v>101.55</v>
      </c>
      <c r="D127" s="20">
        <f t="shared" si="3"/>
        <v>-1.8675054059367202E-3</v>
      </c>
      <c r="F127" s="7">
        <v>41356.239999999998</v>
      </c>
      <c r="G127" s="20">
        <f t="shared" si="2"/>
        <v>8.6248189139224163E-3</v>
      </c>
    </row>
    <row r="128" spans="2:7" x14ac:dyDescent="0.35">
      <c r="B128" s="24">
        <v>45081</v>
      </c>
      <c r="C128" s="7">
        <v>100.86</v>
      </c>
      <c r="D128" s="20">
        <f t="shared" si="3"/>
        <v>-6.7946824224519586E-3</v>
      </c>
      <c r="F128" s="7">
        <v>41904.86</v>
      </c>
      <c r="G128" s="20">
        <f t="shared" si="2"/>
        <v>1.3265712743711688E-2</v>
      </c>
    </row>
    <row r="129" spans="2:7" x14ac:dyDescent="0.35">
      <c r="B129" s="24">
        <v>45088</v>
      </c>
      <c r="C129" s="7">
        <v>98.5</v>
      </c>
      <c r="D129" s="20">
        <f t="shared" si="3"/>
        <v>-2.3398770573071603E-2</v>
      </c>
      <c r="F129" s="7">
        <v>41335.53</v>
      </c>
      <c r="G129" s="20">
        <f t="shared" si="2"/>
        <v>-1.3586252286727607E-2</v>
      </c>
    </row>
    <row r="130" spans="2:7" x14ac:dyDescent="0.35">
      <c r="B130" s="24">
        <v>45095</v>
      </c>
      <c r="C130" s="7">
        <v>97</v>
      </c>
      <c r="D130" s="20">
        <f t="shared" si="3"/>
        <v>-1.5228426395939132E-2</v>
      </c>
      <c r="F130" s="7">
        <v>40090.36</v>
      </c>
      <c r="G130" s="20">
        <f t="shared" si="2"/>
        <v>-3.0123479727972469E-2</v>
      </c>
    </row>
    <row r="131" spans="2:7" x14ac:dyDescent="0.35">
      <c r="B131" s="24">
        <v>45102</v>
      </c>
      <c r="C131" s="7">
        <v>98.4</v>
      </c>
      <c r="D131" s="20">
        <f t="shared" si="3"/>
        <v>1.4432989690721598E-2</v>
      </c>
      <c r="F131" s="7">
        <v>41452.68</v>
      </c>
      <c r="G131" s="20">
        <f t="shared" si="2"/>
        <v>3.398123638700179E-2</v>
      </c>
    </row>
    <row r="132" spans="2:7" x14ac:dyDescent="0.35">
      <c r="B132" s="24">
        <v>45109</v>
      </c>
      <c r="C132" s="7">
        <v>99.7</v>
      </c>
      <c r="D132" s="20">
        <f t="shared" si="3"/>
        <v>1.3211382113821113E-2</v>
      </c>
      <c r="F132" s="7">
        <v>44284.92</v>
      </c>
      <c r="G132" s="20">
        <f t="shared" si="2"/>
        <v>6.8324653556778525E-2</v>
      </c>
    </row>
    <row r="133" spans="2:7" x14ac:dyDescent="0.35">
      <c r="B133" s="24">
        <v>45116</v>
      </c>
      <c r="C133" s="7">
        <v>99.97</v>
      </c>
      <c r="D133" s="20">
        <f t="shared" si="3"/>
        <v>2.7081243731192917E-3</v>
      </c>
      <c r="F133" s="7">
        <v>45071.94</v>
      </c>
      <c r="G133" s="20">
        <f t="shared" si="2"/>
        <v>1.7771738099560785E-2</v>
      </c>
    </row>
    <row r="134" spans="2:7" x14ac:dyDescent="0.35">
      <c r="B134" s="24">
        <v>45123</v>
      </c>
      <c r="C134" s="7">
        <v>99.75</v>
      </c>
      <c r="D134" s="20">
        <f t="shared" si="3"/>
        <v>-2.2006601980594231E-3</v>
      </c>
      <c r="F134" s="7">
        <v>45888.26</v>
      </c>
      <c r="G134" s="20">
        <f t="shared" si="2"/>
        <v>1.8111490208764014E-2</v>
      </c>
    </row>
    <row r="135" spans="2:7" x14ac:dyDescent="0.35">
      <c r="B135" s="24">
        <v>45130</v>
      </c>
      <c r="C135" s="7">
        <v>100.5</v>
      </c>
      <c r="D135" s="20">
        <f t="shared" si="3"/>
        <v>7.5187969924812581E-3</v>
      </c>
      <c r="F135" s="7">
        <v>47139.06</v>
      </c>
      <c r="G135" s="20">
        <f t="shared" ref="G135:G198" si="4">F135/F134 -1</f>
        <v>2.7257516410515326E-2</v>
      </c>
    </row>
    <row r="136" spans="2:7" x14ac:dyDescent="0.35">
      <c r="B136" s="24">
        <v>45137</v>
      </c>
      <c r="C136" s="7">
        <v>97.75</v>
      </c>
      <c r="D136" s="20">
        <f t="shared" ref="D136:D199" si="5">C136/C135 -1</f>
        <v>-2.7363184079602032E-2</v>
      </c>
      <c r="F136" s="7">
        <v>48585.71</v>
      </c>
      <c r="G136" s="20">
        <f t="shared" si="4"/>
        <v>3.0688987009923396E-2</v>
      </c>
    </row>
    <row r="137" spans="2:7" x14ac:dyDescent="0.35">
      <c r="B137" s="24">
        <v>45144</v>
      </c>
      <c r="C137" s="7">
        <v>96.25</v>
      </c>
      <c r="D137" s="20">
        <f t="shared" si="5"/>
        <v>-1.5345268542199531E-2</v>
      </c>
      <c r="F137" s="7">
        <v>48424.4</v>
      </c>
      <c r="G137" s="20">
        <f t="shared" si="4"/>
        <v>-3.3201120247084992E-3</v>
      </c>
    </row>
    <row r="138" spans="2:7" x14ac:dyDescent="0.35">
      <c r="B138" s="24">
        <v>45151</v>
      </c>
      <c r="C138" s="7">
        <v>96.5</v>
      </c>
      <c r="D138" s="20">
        <f t="shared" si="5"/>
        <v>2.5974025974024872E-3</v>
      </c>
      <c r="F138" s="7">
        <v>48218.49</v>
      </c>
      <c r="G138" s="20">
        <f t="shared" si="4"/>
        <v>-4.2521951743336173E-3</v>
      </c>
    </row>
    <row r="139" spans="2:7" x14ac:dyDescent="0.35">
      <c r="B139" s="24">
        <v>45158</v>
      </c>
      <c r="C139" s="7">
        <v>95.73</v>
      </c>
      <c r="D139" s="20">
        <f t="shared" si="5"/>
        <v>-7.9792746113989121E-3</v>
      </c>
      <c r="F139" s="7">
        <v>47671.21</v>
      </c>
      <c r="G139" s="20">
        <f t="shared" si="4"/>
        <v>-1.1350002872342113E-2</v>
      </c>
    </row>
    <row r="140" spans="2:7" x14ac:dyDescent="0.35">
      <c r="B140" s="24">
        <v>45165</v>
      </c>
      <c r="C140" s="7">
        <v>95</v>
      </c>
      <c r="D140" s="20">
        <f t="shared" si="5"/>
        <v>-7.6256137052126416E-3</v>
      </c>
      <c r="F140" s="7">
        <v>45312.65</v>
      </c>
      <c r="G140" s="20">
        <f t="shared" si="4"/>
        <v>-4.9475563972468883E-2</v>
      </c>
    </row>
    <row r="141" spans="2:7" x14ac:dyDescent="0.35">
      <c r="B141" s="24">
        <v>45172</v>
      </c>
      <c r="C141" s="7">
        <v>95</v>
      </c>
      <c r="D141" s="20">
        <f t="shared" si="5"/>
        <v>0</v>
      </c>
      <c r="F141" s="7">
        <v>46013.48</v>
      </c>
      <c r="G141" s="20">
        <f t="shared" si="4"/>
        <v>1.5466541903861319E-2</v>
      </c>
    </row>
    <row r="142" spans="2:7" x14ac:dyDescent="0.35">
      <c r="B142" s="24">
        <v>45179</v>
      </c>
      <c r="C142" s="7">
        <v>92.55</v>
      </c>
      <c r="D142" s="20">
        <f t="shared" si="5"/>
        <v>-2.5789473684210584E-2</v>
      </c>
      <c r="F142" s="7">
        <v>45753.51</v>
      </c>
      <c r="G142" s="20">
        <f t="shared" si="4"/>
        <v>-5.6498660827218883E-3</v>
      </c>
    </row>
    <row r="143" spans="2:7" x14ac:dyDescent="0.35">
      <c r="B143" s="24">
        <v>45186</v>
      </c>
      <c r="C143" s="7">
        <v>92.75</v>
      </c>
      <c r="D143" s="20">
        <f t="shared" si="5"/>
        <v>2.160994057266441E-3</v>
      </c>
      <c r="F143" s="7">
        <v>46436.41</v>
      </c>
      <c r="G143" s="20">
        <f t="shared" si="4"/>
        <v>1.4925630842311355E-2</v>
      </c>
    </row>
    <row r="144" spans="2:7" x14ac:dyDescent="0.35">
      <c r="B144" s="24">
        <v>45193</v>
      </c>
      <c r="C144" s="7">
        <v>92.75</v>
      </c>
      <c r="D144" s="20">
        <f t="shared" si="5"/>
        <v>0</v>
      </c>
      <c r="F144" s="7">
        <v>46232.59</v>
      </c>
      <c r="G144" s="20">
        <f t="shared" si="4"/>
        <v>-4.3892281939970079E-3</v>
      </c>
    </row>
    <row r="145" spans="2:7" x14ac:dyDescent="0.35">
      <c r="B145" s="24">
        <v>45200</v>
      </c>
      <c r="C145" s="7">
        <v>94.2</v>
      </c>
      <c r="D145" s="20">
        <f t="shared" si="5"/>
        <v>1.563342318059302E-2</v>
      </c>
      <c r="F145" s="7">
        <v>47508.67</v>
      </c>
      <c r="G145" s="20">
        <f t="shared" si="4"/>
        <v>2.7601308946784142E-2</v>
      </c>
    </row>
    <row r="146" spans="2:7" x14ac:dyDescent="0.35">
      <c r="B146" s="24">
        <v>45207</v>
      </c>
      <c r="C146" s="7">
        <v>102.61</v>
      </c>
      <c r="D146" s="20">
        <f t="shared" si="5"/>
        <v>8.9278131634819458E-2</v>
      </c>
      <c r="F146" s="7">
        <v>49493.47</v>
      </c>
      <c r="G146" s="20">
        <f t="shared" si="4"/>
        <v>4.1777637639613951E-2</v>
      </c>
    </row>
    <row r="147" spans="2:7" x14ac:dyDescent="0.35">
      <c r="B147" s="24">
        <v>45214</v>
      </c>
      <c r="C147" s="7">
        <v>103.9</v>
      </c>
      <c r="D147" s="20">
        <f t="shared" si="5"/>
        <v>1.2571874086346524E-2</v>
      </c>
      <c r="F147" s="7">
        <v>50674.52</v>
      </c>
      <c r="G147" s="20">
        <f t="shared" si="4"/>
        <v>2.386274391348997E-2</v>
      </c>
    </row>
    <row r="148" spans="2:7" x14ac:dyDescent="0.35">
      <c r="B148" s="24">
        <v>45221</v>
      </c>
      <c r="C148" s="7">
        <v>100.94</v>
      </c>
      <c r="D148" s="20">
        <f t="shared" si="5"/>
        <v>-2.8488931665062611E-2</v>
      </c>
      <c r="F148" s="7">
        <v>50958.45</v>
      </c>
      <c r="G148" s="20">
        <f t="shared" si="4"/>
        <v>5.6030131119151338E-3</v>
      </c>
    </row>
    <row r="149" spans="2:7" x14ac:dyDescent="0.35">
      <c r="B149" s="24">
        <v>45228</v>
      </c>
      <c r="C149" s="7">
        <v>101.5</v>
      </c>
      <c r="D149" s="20">
        <f t="shared" si="5"/>
        <v>5.5478502080443803E-3</v>
      </c>
      <c r="F149" s="7">
        <v>53175.72</v>
      </c>
      <c r="G149" s="20">
        <f t="shared" si="4"/>
        <v>4.3511331290492672E-2</v>
      </c>
    </row>
    <row r="150" spans="2:7" x14ac:dyDescent="0.35">
      <c r="B150" s="24">
        <v>45235</v>
      </c>
      <c r="C150" s="7">
        <v>104</v>
      </c>
      <c r="D150" s="20">
        <f t="shared" si="5"/>
        <v>2.4630541871921263E-2</v>
      </c>
      <c r="F150" s="7">
        <v>55399.66</v>
      </c>
      <c r="G150" s="20">
        <f t="shared" si="4"/>
        <v>4.1822470857000082E-2</v>
      </c>
    </row>
    <row r="151" spans="2:7" x14ac:dyDescent="0.35">
      <c r="B151" s="24">
        <v>45242</v>
      </c>
      <c r="C151" s="7">
        <v>105.56</v>
      </c>
      <c r="D151" s="20">
        <f t="shared" si="5"/>
        <v>1.5000000000000124E-2</v>
      </c>
      <c r="F151" s="7">
        <v>57016.959999999999</v>
      </c>
      <c r="G151" s="20">
        <f t="shared" si="4"/>
        <v>2.9193319959003317E-2</v>
      </c>
    </row>
    <row r="152" spans="2:7" x14ac:dyDescent="0.35">
      <c r="B152" s="24">
        <v>45249</v>
      </c>
      <c r="C152" s="7">
        <v>110.5</v>
      </c>
      <c r="D152" s="20">
        <f t="shared" si="5"/>
        <v>4.6798029556650134E-2</v>
      </c>
      <c r="F152" s="7">
        <v>59173.34</v>
      </c>
      <c r="G152" s="20">
        <f t="shared" si="4"/>
        <v>3.7819974968851255E-2</v>
      </c>
    </row>
    <row r="153" spans="2:7" x14ac:dyDescent="0.35">
      <c r="B153" s="24">
        <v>45256</v>
      </c>
      <c r="C153" s="7">
        <v>113.12</v>
      </c>
      <c r="D153" s="20">
        <f t="shared" si="5"/>
        <v>2.3710407239819098E-2</v>
      </c>
      <c r="F153" s="7">
        <v>61691.25</v>
      </c>
      <c r="G153" s="20">
        <f t="shared" si="4"/>
        <v>4.2551426030709161E-2</v>
      </c>
    </row>
    <row r="154" spans="2:7" x14ac:dyDescent="0.35">
      <c r="B154" s="24">
        <v>45263</v>
      </c>
      <c r="C154" s="7">
        <v>116.75</v>
      </c>
      <c r="D154" s="20">
        <f t="shared" si="5"/>
        <v>3.2089816124469595E-2</v>
      </c>
      <c r="F154" s="7">
        <v>66223.63</v>
      </c>
      <c r="G154" s="20">
        <f t="shared" si="4"/>
        <v>7.3468765829838079E-2</v>
      </c>
    </row>
    <row r="155" spans="2:7" x14ac:dyDescent="0.35">
      <c r="B155" s="24">
        <v>45270</v>
      </c>
      <c r="C155" s="7">
        <v>120.51</v>
      </c>
      <c r="D155" s="20">
        <f t="shared" si="5"/>
        <v>3.2205567451820238E-2</v>
      </c>
      <c r="F155" s="7">
        <v>66130.02</v>
      </c>
      <c r="G155" s="20">
        <f t="shared" si="4"/>
        <v>-1.4135437758395764E-3</v>
      </c>
    </row>
    <row r="156" spans="2:7" x14ac:dyDescent="0.35">
      <c r="B156" s="24">
        <v>45277</v>
      </c>
      <c r="C156" s="7">
        <v>112.15</v>
      </c>
      <c r="D156" s="20">
        <f t="shared" si="5"/>
        <v>-6.9371836362127626E-2</v>
      </c>
      <c r="F156" s="7">
        <v>61705.09</v>
      </c>
      <c r="G156" s="20">
        <f t="shared" si="4"/>
        <v>-6.6912576164350313E-2</v>
      </c>
    </row>
    <row r="157" spans="2:7" x14ac:dyDescent="0.35">
      <c r="B157" s="24">
        <v>45284</v>
      </c>
      <c r="C157" s="7">
        <v>113.3</v>
      </c>
      <c r="D157" s="20">
        <f t="shared" si="5"/>
        <v>1.0254123941150217E-2</v>
      </c>
      <c r="F157" s="7">
        <v>62451.040000000001</v>
      </c>
      <c r="G157" s="20">
        <f t="shared" si="4"/>
        <v>1.2088954087904336E-2</v>
      </c>
    </row>
    <row r="158" spans="2:7" x14ac:dyDescent="0.35">
      <c r="B158" s="24">
        <v>45291</v>
      </c>
      <c r="C158" s="7">
        <v>118.97</v>
      </c>
      <c r="D158" s="20">
        <f t="shared" si="5"/>
        <v>5.0044130626655026E-2</v>
      </c>
      <c r="F158" s="7">
        <v>64514.9</v>
      </c>
      <c r="G158" s="20">
        <f t="shared" si="4"/>
        <v>3.3047648205698499E-2</v>
      </c>
    </row>
    <row r="159" spans="2:7" x14ac:dyDescent="0.35">
      <c r="B159" s="24">
        <v>45298</v>
      </c>
      <c r="C159" s="7">
        <v>118.39</v>
      </c>
      <c r="D159" s="20">
        <f t="shared" si="5"/>
        <v>-4.8751786164579203E-3</v>
      </c>
      <c r="F159" s="7">
        <v>64637.64</v>
      </c>
      <c r="G159" s="20">
        <f t="shared" si="4"/>
        <v>1.9025062427437955E-3</v>
      </c>
    </row>
    <row r="160" spans="2:7" x14ac:dyDescent="0.35">
      <c r="B160" s="24">
        <v>45305</v>
      </c>
      <c r="C160" s="7">
        <v>117.5</v>
      </c>
      <c r="D160" s="20">
        <f t="shared" si="5"/>
        <v>-7.5175268181434385E-3</v>
      </c>
      <c r="F160" s="7">
        <v>63282.23</v>
      </c>
      <c r="G160" s="20">
        <f t="shared" si="4"/>
        <v>-2.0969360886319399E-2</v>
      </c>
    </row>
    <row r="161" spans="2:7" x14ac:dyDescent="0.35">
      <c r="B161" s="24">
        <v>45312</v>
      </c>
      <c r="C161" s="7">
        <v>115.18</v>
      </c>
      <c r="D161" s="20">
        <f t="shared" si="5"/>
        <v>-1.9744680851063734E-2</v>
      </c>
      <c r="F161" s="7">
        <v>63813.06</v>
      </c>
      <c r="G161" s="20">
        <f t="shared" si="4"/>
        <v>8.388294786703776E-3</v>
      </c>
    </row>
    <row r="162" spans="2:7" x14ac:dyDescent="0.35">
      <c r="B162" s="24">
        <v>45319</v>
      </c>
      <c r="C162" s="7">
        <v>113.5</v>
      </c>
      <c r="D162" s="20">
        <f t="shared" si="5"/>
        <v>-1.458586560166697E-2</v>
      </c>
      <c r="F162" s="7">
        <v>63002.92</v>
      </c>
      <c r="G162" s="20">
        <f t="shared" si="4"/>
        <v>-1.2695520321388765E-2</v>
      </c>
    </row>
    <row r="163" spans="2:7" x14ac:dyDescent="0.35">
      <c r="B163" s="24">
        <v>45326</v>
      </c>
      <c r="C163" s="7">
        <v>113</v>
      </c>
      <c r="D163" s="20">
        <f t="shared" si="5"/>
        <v>-4.405286343612369E-3</v>
      </c>
      <c r="F163" s="7">
        <v>62943.75</v>
      </c>
      <c r="G163" s="20">
        <f t="shared" si="4"/>
        <v>-9.3916281975503502E-4</v>
      </c>
    </row>
    <row r="164" spans="2:7" x14ac:dyDescent="0.35">
      <c r="B164" s="24">
        <v>45333</v>
      </c>
      <c r="C164" s="7">
        <v>109</v>
      </c>
      <c r="D164" s="20">
        <f t="shared" si="5"/>
        <v>-3.539823008849563E-2</v>
      </c>
      <c r="F164" s="7">
        <v>59872.959999999999</v>
      </c>
      <c r="G164" s="20">
        <f t="shared" si="4"/>
        <v>-4.8786257571244218E-2</v>
      </c>
    </row>
    <row r="165" spans="2:7" x14ac:dyDescent="0.35">
      <c r="B165" s="24">
        <v>45340</v>
      </c>
      <c r="C165" s="7">
        <v>113.69</v>
      </c>
      <c r="D165" s="20">
        <f t="shared" si="5"/>
        <v>4.3027522935779716E-2</v>
      </c>
      <c r="F165" s="7">
        <v>62815.82</v>
      </c>
      <c r="G165" s="20">
        <f t="shared" si="4"/>
        <v>4.9151737278397389E-2</v>
      </c>
    </row>
    <row r="166" spans="2:7" x14ac:dyDescent="0.35">
      <c r="B166" s="24">
        <v>45347</v>
      </c>
      <c r="C166" s="7">
        <v>120.35</v>
      </c>
      <c r="D166" s="20">
        <f t="shared" si="5"/>
        <v>5.8580350074764587E-2</v>
      </c>
      <c r="F166" s="7">
        <v>65325.69</v>
      </c>
      <c r="G166" s="20">
        <f t="shared" si="4"/>
        <v>3.9956017449107595E-2</v>
      </c>
    </row>
    <row r="167" spans="2:7" x14ac:dyDescent="0.35">
      <c r="B167" s="24">
        <v>45354</v>
      </c>
      <c r="C167" s="7">
        <v>117.75</v>
      </c>
      <c r="D167" s="20">
        <f t="shared" si="5"/>
        <v>-2.160365600332359E-2</v>
      </c>
      <c r="F167" s="7">
        <v>65793.759999999995</v>
      </c>
      <c r="G167" s="20">
        <f t="shared" si="4"/>
        <v>7.1651749870531578E-3</v>
      </c>
    </row>
    <row r="168" spans="2:7" x14ac:dyDescent="0.35">
      <c r="B168" s="24">
        <v>45361</v>
      </c>
      <c r="C168" s="7">
        <v>118</v>
      </c>
      <c r="D168" s="20">
        <f t="shared" si="5"/>
        <v>2.1231422505307851E-3</v>
      </c>
      <c r="F168" s="7">
        <v>64816.47</v>
      </c>
      <c r="G168" s="20">
        <f t="shared" si="4"/>
        <v>-1.4853840242600391E-2</v>
      </c>
    </row>
    <row r="169" spans="2:7" x14ac:dyDescent="0.35">
      <c r="B169" s="24">
        <v>45368</v>
      </c>
      <c r="C169" s="7">
        <v>121.5</v>
      </c>
      <c r="D169" s="20">
        <f t="shared" si="5"/>
        <v>2.9661016949152463E-2</v>
      </c>
      <c r="F169" s="7">
        <v>65151.83</v>
      </c>
      <c r="G169" s="20">
        <f t="shared" si="4"/>
        <v>5.173993585272374E-3</v>
      </c>
    </row>
    <row r="170" spans="2:7" x14ac:dyDescent="0.35">
      <c r="B170" s="24">
        <v>45375</v>
      </c>
      <c r="C170" s="7">
        <v>126.5</v>
      </c>
      <c r="D170" s="20">
        <f t="shared" si="5"/>
        <v>4.1152263374485631E-2</v>
      </c>
      <c r="F170" s="7">
        <v>67005.11</v>
      </c>
      <c r="G170" s="20">
        <f t="shared" si="4"/>
        <v>2.8445555558454849E-2</v>
      </c>
    </row>
    <row r="171" spans="2:7" x14ac:dyDescent="0.35">
      <c r="B171" s="24">
        <v>45382</v>
      </c>
      <c r="C171" s="7">
        <v>126.2</v>
      </c>
      <c r="D171" s="20">
        <f t="shared" si="5"/>
        <v>-2.3715415019762709E-3</v>
      </c>
      <c r="F171" s="7">
        <v>68416.78</v>
      </c>
      <c r="G171" s="20">
        <f t="shared" si="4"/>
        <v>2.1068094657258118E-2</v>
      </c>
    </row>
    <row r="172" spans="2:7" x14ac:dyDescent="0.35">
      <c r="B172" s="24">
        <v>45389</v>
      </c>
      <c r="C172" s="7">
        <v>142.61000000000001</v>
      </c>
      <c r="D172" s="20">
        <f t="shared" si="5"/>
        <v>0.13003169572107764</v>
      </c>
      <c r="F172" s="7">
        <v>70314.720000000001</v>
      </c>
      <c r="G172" s="20">
        <f t="shared" si="4"/>
        <v>2.7740855386646501E-2</v>
      </c>
    </row>
    <row r="173" spans="2:7" x14ac:dyDescent="0.35">
      <c r="B173" s="24">
        <v>45396</v>
      </c>
      <c r="C173" s="7">
        <v>141.38999999999999</v>
      </c>
      <c r="D173" s="20">
        <f t="shared" si="5"/>
        <v>-8.5547998036604733E-3</v>
      </c>
      <c r="F173" s="7">
        <v>70909.899999999994</v>
      </c>
      <c r="G173" s="20">
        <f t="shared" si="4"/>
        <v>8.4645149692694766E-3</v>
      </c>
    </row>
    <row r="174" spans="2:7" x14ac:dyDescent="0.35">
      <c r="B174" s="24">
        <v>45403</v>
      </c>
      <c r="C174" s="7">
        <v>147.19999999999999</v>
      </c>
      <c r="D174" s="20">
        <f t="shared" si="5"/>
        <v>4.109201499398818E-2</v>
      </c>
      <c r="F174" s="7">
        <v>72742.75</v>
      </c>
      <c r="G174" s="20">
        <f t="shared" si="4"/>
        <v>2.5847589687758799E-2</v>
      </c>
    </row>
    <row r="175" spans="2:7" x14ac:dyDescent="0.35">
      <c r="B175" s="24">
        <v>45410</v>
      </c>
      <c r="C175" s="7">
        <v>145.75</v>
      </c>
      <c r="D175" s="20">
        <f t="shared" si="5"/>
        <v>-9.8505434782607537E-3</v>
      </c>
      <c r="F175" s="7">
        <v>71902.09</v>
      </c>
      <c r="G175" s="20">
        <f t="shared" si="4"/>
        <v>-1.1556615607741016E-2</v>
      </c>
    </row>
    <row r="176" spans="2:7" x14ac:dyDescent="0.35">
      <c r="B176" s="24">
        <v>45417</v>
      </c>
      <c r="C176" s="7">
        <v>143.88999999999999</v>
      </c>
      <c r="D176" s="20">
        <f t="shared" si="5"/>
        <v>-1.2761578044596988E-2</v>
      </c>
      <c r="F176" s="7">
        <v>73085.5</v>
      </c>
      <c r="G176" s="20">
        <f t="shared" si="4"/>
        <v>1.6458631452854977E-2</v>
      </c>
    </row>
    <row r="177" spans="2:7" x14ac:dyDescent="0.35">
      <c r="B177" s="24">
        <v>45424</v>
      </c>
      <c r="C177" s="7">
        <v>144.6</v>
      </c>
      <c r="D177" s="20">
        <f t="shared" si="5"/>
        <v>4.9343248314686061E-3</v>
      </c>
      <c r="F177" s="7">
        <v>75342.350000000006</v>
      </c>
      <c r="G177" s="20">
        <f t="shared" si="4"/>
        <v>3.0879586238036438E-2</v>
      </c>
    </row>
    <row r="178" spans="2:7" x14ac:dyDescent="0.35">
      <c r="B178" s="24">
        <v>45431</v>
      </c>
      <c r="C178" s="7">
        <v>147.5</v>
      </c>
      <c r="D178" s="20">
        <f t="shared" si="5"/>
        <v>2.0055325034578297E-2</v>
      </c>
      <c r="F178" s="7">
        <v>75983.039999999994</v>
      </c>
      <c r="G178" s="20">
        <f t="shared" si="4"/>
        <v>8.5037167011645654E-3</v>
      </c>
    </row>
    <row r="179" spans="2:7" x14ac:dyDescent="0.35">
      <c r="B179" s="24">
        <v>45438</v>
      </c>
      <c r="C179" s="7">
        <v>142</v>
      </c>
      <c r="D179" s="20">
        <f t="shared" si="5"/>
        <v>-3.7288135593220306E-2</v>
      </c>
      <c r="F179" s="7">
        <v>75878.48</v>
      </c>
      <c r="G179" s="20">
        <f t="shared" si="4"/>
        <v>-1.3760965604955322E-3</v>
      </c>
    </row>
    <row r="180" spans="2:7" x14ac:dyDescent="0.35">
      <c r="B180" s="24">
        <v>45445</v>
      </c>
      <c r="C180" s="7">
        <v>139.5</v>
      </c>
      <c r="D180" s="20">
        <f t="shared" si="5"/>
        <v>-1.7605633802816878E-2</v>
      </c>
      <c r="F180" s="7">
        <v>73754.02</v>
      </c>
      <c r="G180" s="20">
        <f t="shared" si="4"/>
        <v>-2.7998188682746283E-2</v>
      </c>
    </row>
    <row r="181" spans="2:7" x14ac:dyDescent="0.35">
      <c r="B181" s="24">
        <v>45452</v>
      </c>
      <c r="C181" s="7">
        <v>144.5</v>
      </c>
      <c r="D181" s="20">
        <f t="shared" si="5"/>
        <v>3.584229390680993E-2</v>
      </c>
      <c r="F181" s="7">
        <v>76706.77</v>
      </c>
      <c r="G181" s="20">
        <f t="shared" si="4"/>
        <v>4.0035105883041933E-2</v>
      </c>
    </row>
    <row r="182" spans="2:7" x14ac:dyDescent="0.35">
      <c r="B182" s="24">
        <v>45459</v>
      </c>
      <c r="C182" s="7">
        <v>153</v>
      </c>
      <c r="D182" s="20">
        <f t="shared" si="5"/>
        <v>5.8823529411764719E-2</v>
      </c>
      <c r="F182" s="7">
        <v>78810.490000000005</v>
      </c>
      <c r="G182" s="20">
        <f t="shared" si="4"/>
        <v>2.7425480176000105E-2</v>
      </c>
    </row>
    <row r="183" spans="2:7" x14ac:dyDescent="0.35">
      <c r="B183" s="24">
        <v>45466</v>
      </c>
      <c r="C183" s="7">
        <v>163.38</v>
      </c>
      <c r="D183" s="20">
        <f t="shared" si="5"/>
        <v>6.7843137254901986E-2</v>
      </c>
      <c r="F183" s="7">
        <v>78444.960000000006</v>
      </c>
      <c r="G183" s="20">
        <f t="shared" si="4"/>
        <v>-4.6380881529857199E-3</v>
      </c>
    </row>
    <row r="184" spans="2:7" x14ac:dyDescent="0.35">
      <c r="B184" s="24">
        <v>45473</v>
      </c>
      <c r="C184" s="7">
        <v>166.75</v>
      </c>
      <c r="D184" s="20">
        <f t="shared" si="5"/>
        <v>2.0626759701309894E-2</v>
      </c>
      <c r="F184" s="7">
        <v>80212.789999999994</v>
      </c>
      <c r="G184" s="20">
        <f t="shared" si="4"/>
        <v>2.2535928375768011E-2</v>
      </c>
    </row>
    <row r="185" spans="2:7" x14ac:dyDescent="0.35">
      <c r="B185" s="24">
        <v>45480</v>
      </c>
      <c r="C185" s="7">
        <v>170.42</v>
      </c>
      <c r="D185" s="20">
        <f t="shared" si="5"/>
        <v>2.2008995502248885E-2</v>
      </c>
      <c r="F185" s="7">
        <v>79944.100000000006</v>
      </c>
      <c r="G185" s="20">
        <f t="shared" si="4"/>
        <v>-3.3497151763451916E-3</v>
      </c>
    </row>
    <row r="186" spans="2:7" x14ac:dyDescent="0.35">
      <c r="B186" s="24">
        <v>45487</v>
      </c>
      <c r="C186" s="7">
        <v>167.11</v>
      </c>
      <c r="D186" s="20">
        <f t="shared" si="5"/>
        <v>-1.9422602980870618E-2</v>
      </c>
      <c r="F186" s="7">
        <v>80117.89</v>
      </c>
      <c r="G186" s="20">
        <f t="shared" si="4"/>
        <v>2.1738940084383707E-3</v>
      </c>
    </row>
    <row r="187" spans="2:7" x14ac:dyDescent="0.35">
      <c r="B187" s="24">
        <v>45494</v>
      </c>
      <c r="C187" s="7">
        <v>164.98</v>
      </c>
      <c r="D187" s="20">
        <f t="shared" si="5"/>
        <v>-1.2746095386272693E-2</v>
      </c>
      <c r="F187" s="7">
        <v>78029.509999999995</v>
      </c>
      <c r="G187" s="20">
        <f t="shared" si="4"/>
        <v>-2.6066337992675548E-2</v>
      </c>
    </row>
    <row r="188" spans="2:7" x14ac:dyDescent="0.35">
      <c r="B188" s="24">
        <v>45501</v>
      </c>
      <c r="C188" s="7">
        <v>186.62</v>
      </c>
      <c r="D188" s="20">
        <f t="shared" si="5"/>
        <v>0.13116741423202827</v>
      </c>
      <c r="F188" s="7">
        <v>78225.98</v>
      </c>
      <c r="G188" s="20">
        <f t="shared" si="4"/>
        <v>2.5178935507861322E-3</v>
      </c>
    </row>
    <row r="189" spans="2:7" x14ac:dyDescent="0.35">
      <c r="B189" s="24">
        <v>45508</v>
      </c>
      <c r="C189" s="7">
        <v>166.03</v>
      </c>
      <c r="D189" s="20">
        <f t="shared" si="5"/>
        <v>-0.11033115421712569</v>
      </c>
      <c r="F189" s="7">
        <v>78569.59</v>
      </c>
      <c r="G189" s="20">
        <f t="shared" si="4"/>
        <v>4.3925304611076577E-3</v>
      </c>
    </row>
    <row r="190" spans="2:7" x14ac:dyDescent="0.35">
      <c r="B190" s="24">
        <v>45515</v>
      </c>
      <c r="C190" s="7">
        <v>170.34</v>
      </c>
      <c r="D190" s="20">
        <f t="shared" si="5"/>
        <v>2.5959164006504887E-2</v>
      </c>
      <c r="F190" s="7">
        <v>78045.31</v>
      </c>
      <c r="G190" s="20">
        <f t="shared" si="4"/>
        <v>-6.6728106892246508E-3</v>
      </c>
    </row>
    <row r="191" spans="2:7" x14ac:dyDescent="0.35">
      <c r="B191" s="24">
        <v>45522</v>
      </c>
      <c r="C191" s="7">
        <v>180.9</v>
      </c>
      <c r="D191" s="20">
        <f t="shared" si="5"/>
        <v>6.1993659739344897E-2</v>
      </c>
      <c r="F191" s="7">
        <v>78801.429999999993</v>
      </c>
      <c r="G191" s="20">
        <f t="shared" si="4"/>
        <v>9.6882182926814053E-3</v>
      </c>
    </row>
    <row r="192" spans="2:7" x14ac:dyDescent="0.35">
      <c r="B192" s="24">
        <v>45529</v>
      </c>
      <c r="C192" s="7">
        <v>181.91</v>
      </c>
      <c r="D192" s="20">
        <f t="shared" si="5"/>
        <v>5.5831951354339271E-3</v>
      </c>
      <c r="F192" s="7">
        <v>78488.22</v>
      </c>
      <c r="G192" s="20">
        <f t="shared" si="4"/>
        <v>-3.9746740636558142E-3</v>
      </c>
    </row>
    <row r="193" spans="2:7" x14ac:dyDescent="0.35">
      <c r="B193" s="24">
        <v>45536</v>
      </c>
      <c r="C193" s="7">
        <v>181.71</v>
      </c>
      <c r="D193" s="20">
        <f t="shared" si="5"/>
        <v>-1.0994447803858165E-3</v>
      </c>
      <c r="F193" s="7">
        <v>78897.73</v>
      </c>
      <c r="G193" s="20">
        <f t="shared" si="4"/>
        <v>5.2174708510397405E-3</v>
      </c>
    </row>
    <row r="194" spans="2:7" x14ac:dyDescent="0.35">
      <c r="B194" s="24">
        <v>45543</v>
      </c>
      <c r="C194" s="7">
        <v>182.48</v>
      </c>
      <c r="D194" s="20">
        <f t="shared" si="5"/>
        <v>4.2375213251883981E-3</v>
      </c>
      <c r="F194" s="7">
        <v>79333.06</v>
      </c>
      <c r="G194" s="20">
        <f t="shared" si="4"/>
        <v>5.5176492403521404E-3</v>
      </c>
    </row>
    <row r="195" spans="2:7" x14ac:dyDescent="0.35">
      <c r="B195" s="24">
        <v>45550</v>
      </c>
      <c r="C195" s="7">
        <v>196.81</v>
      </c>
      <c r="D195" s="20">
        <f t="shared" si="5"/>
        <v>7.8529153879877356E-2</v>
      </c>
      <c r="F195" s="7">
        <v>82074.45</v>
      </c>
      <c r="G195" s="20">
        <f t="shared" si="4"/>
        <v>3.4555455191064066E-2</v>
      </c>
    </row>
    <row r="196" spans="2:7" x14ac:dyDescent="0.35">
      <c r="B196" s="24">
        <v>45557</v>
      </c>
      <c r="C196" s="7">
        <v>216.85</v>
      </c>
      <c r="D196" s="20">
        <f t="shared" si="5"/>
        <v>0.10182409430415107</v>
      </c>
      <c r="F196" s="7">
        <v>81292.13</v>
      </c>
      <c r="G196" s="20">
        <f t="shared" si="4"/>
        <v>-9.531833597422712E-3</v>
      </c>
    </row>
    <row r="197" spans="2:7" x14ac:dyDescent="0.35">
      <c r="B197" s="24">
        <v>45564</v>
      </c>
      <c r="C197" s="7">
        <v>238.84</v>
      </c>
      <c r="D197" s="20">
        <f t="shared" si="5"/>
        <v>0.10140650219045422</v>
      </c>
      <c r="F197" s="7">
        <v>83531.960000000006</v>
      </c>
      <c r="G197" s="20">
        <f t="shared" si="4"/>
        <v>2.7552851672111522E-2</v>
      </c>
    </row>
    <row r="198" spans="2:7" x14ac:dyDescent="0.35">
      <c r="B198" s="24">
        <v>45571</v>
      </c>
      <c r="C198" s="7">
        <v>243.75</v>
      </c>
      <c r="D198" s="20">
        <f t="shared" si="5"/>
        <v>2.0557695528387265E-2</v>
      </c>
      <c r="F198" s="7">
        <v>85483.4</v>
      </c>
      <c r="G198" s="20">
        <f t="shared" si="4"/>
        <v>2.3361597165922898E-2</v>
      </c>
    </row>
    <row r="199" spans="2:7" x14ac:dyDescent="0.35">
      <c r="B199" s="24">
        <v>45578</v>
      </c>
      <c r="C199" s="7">
        <v>246.67</v>
      </c>
      <c r="D199" s="20">
        <f t="shared" si="5"/>
        <v>1.1979487179487158E-2</v>
      </c>
      <c r="F199" s="7">
        <v>85250.09</v>
      </c>
      <c r="G199" s="20">
        <f t="shared" ref="G199:G261" si="6">F199/F198 -1</f>
        <v>-2.7293018293610416E-3</v>
      </c>
    </row>
    <row r="200" spans="2:7" x14ac:dyDescent="0.35">
      <c r="B200" s="24">
        <v>45585</v>
      </c>
      <c r="C200" s="7">
        <v>284.45999999999998</v>
      </c>
      <c r="D200" s="20">
        <f t="shared" ref="D200:D263" si="7">C200/C199 -1</f>
        <v>0.15320063242388615</v>
      </c>
      <c r="F200" s="7">
        <v>89993.97</v>
      </c>
      <c r="G200" s="20">
        <f t="shared" si="6"/>
        <v>5.5646627469836174E-2</v>
      </c>
    </row>
    <row r="201" spans="2:7" x14ac:dyDescent="0.35">
      <c r="B201" s="24">
        <v>45592</v>
      </c>
      <c r="C201" s="7">
        <v>283.76</v>
      </c>
      <c r="D201" s="20">
        <f t="shared" si="7"/>
        <v>-2.4608029248399665E-3</v>
      </c>
      <c r="F201" s="7">
        <v>90859.85</v>
      </c>
      <c r="G201" s="20">
        <f t="shared" si="6"/>
        <v>9.6215335316356398E-3</v>
      </c>
    </row>
    <row r="202" spans="2:7" x14ac:dyDescent="0.35">
      <c r="B202" s="24">
        <v>45599</v>
      </c>
      <c r="C202" s="7">
        <v>285.18</v>
      </c>
      <c r="D202" s="20">
        <f t="shared" si="7"/>
        <v>5.0042289258529493E-3</v>
      </c>
      <c r="F202" s="7">
        <v>93291.68</v>
      </c>
      <c r="G202" s="20">
        <f t="shared" si="6"/>
        <v>2.676462706024707E-2</v>
      </c>
    </row>
    <row r="203" spans="2:7" x14ac:dyDescent="0.35">
      <c r="B203" s="24">
        <v>45606</v>
      </c>
      <c r="C203" s="7">
        <v>279.36</v>
      </c>
      <c r="D203" s="20">
        <f t="shared" si="7"/>
        <v>-2.0408163265306145E-2</v>
      </c>
      <c r="F203" s="7">
        <v>94763.64</v>
      </c>
      <c r="G203" s="20">
        <f t="shared" si="6"/>
        <v>1.5778041514527441E-2</v>
      </c>
    </row>
    <row r="204" spans="2:7" x14ac:dyDescent="0.35">
      <c r="B204" s="24">
        <v>45613</v>
      </c>
      <c r="C204" s="7">
        <v>322.33</v>
      </c>
      <c r="D204" s="20">
        <f t="shared" si="7"/>
        <v>0.15381586483390586</v>
      </c>
      <c r="F204" s="7">
        <v>97798.23</v>
      </c>
      <c r="G204" s="20">
        <f t="shared" si="6"/>
        <v>3.2022725171806377E-2</v>
      </c>
    </row>
    <row r="205" spans="2:7" x14ac:dyDescent="0.35">
      <c r="B205" s="24">
        <v>45620</v>
      </c>
      <c r="C205" s="7">
        <v>324.89</v>
      </c>
      <c r="D205" s="20">
        <f t="shared" si="7"/>
        <v>7.9421710669189682E-3</v>
      </c>
      <c r="F205" s="7">
        <v>101357.32</v>
      </c>
      <c r="G205" s="20">
        <f t="shared" si="6"/>
        <v>3.6392171923766092E-2</v>
      </c>
    </row>
    <row r="206" spans="2:7" x14ac:dyDescent="0.35">
      <c r="B206" s="24">
        <v>45627</v>
      </c>
      <c r="C206" s="7">
        <v>347.08</v>
      </c>
      <c r="D206" s="20">
        <f t="shared" si="7"/>
        <v>6.8300040013542951E-2</v>
      </c>
      <c r="F206" s="7">
        <v>109053.95</v>
      </c>
      <c r="G206" s="20">
        <f t="shared" si="6"/>
        <v>7.5935610767924766E-2</v>
      </c>
    </row>
    <row r="207" spans="2:7" x14ac:dyDescent="0.35">
      <c r="B207" s="24">
        <v>45634</v>
      </c>
      <c r="C207" s="7">
        <v>399.41</v>
      </c>
      <c r="D207" s="20">
        <f t="shared" si="7"/>
        <v>0.15077215627521046</v>
      </c>
      <c r="F207" s="7">
        <v>114301.8</v>
      </c>
      <c r="G207" s="20">
        <f t="shared" si="6"/>
        <v>4.8121594861992634E-2</v>
      </c>
    </row>
    <row r="208" spans="2:7" x14ac:dyDescent="0.35">
      <c r="B208" s="24">
        <v>45641</v>
      </c>
      <c r="C208" s="7">
        <v>385.18</v>
      </c>
      <c r="D208" s="20">
        <f t="shared" si="7"/>
        <v>-3.562755063718992E-2</v>
      </c>
      <c r="F208" s="7">
        <v>109513.15</v>
      </c>
      <c r="G208" s="20">
        <f t="shared" si="6"/>
        <v>-4.1894790808193805E-2</v>
      </c>
    </row>
    <row r="209" spans="2:7" x14ac:dyDescent="0.35">
      <c r="B209" s="24">
        <v>45648</v>
      </c>
      <c r="C209" s="7">
        <v>374.26</v>
      </c>
      <c r="D209" s="20">
        <f t="shared" si="7"/>
        <v>-2.8350381639752897E-2</v>
      </c>
      <c r="F209" s="7">
        <v>111351.18</v>
      </c>
      <c r="G209" s="20">
        <f t="shared" si="6"/>
        <v>1.6783646530119878E-2</v>
      </c>
    </row>
    <row r="210" spans="2:7" x14ac:dyDescent="0.35">
      <c r="B210" s="24">
        <v>45655</v>
      </c>
      <c r="C210" s="7">
        <v>388.6</v>
      </c>
      <c r="D210" s="20">
        <f t="shared" si="7"/>
        <v>3.8315609469352863E-2</v>
      </c>
      <c r="F210" s="7">
        <v>117586.98</v>
      </c>
      <c r="G210" s="20">
        <f t="shared" si="6"/>
        <v>5.600120268146247E-2</v>
      </c>
    </row>
    <row r="211" spans="2:7" x14ac:dyDescent="0.35">
      <c r="B211" s="24">
        <v>45662</v>
      </c>
      <c r="C211" s="7">
        <v>383.73</v>
      </c>
      <c r="D211" s="20">
        <f t="shared" si="7"/>
        <v>-1.2532166752444729E-2</v>
      </c>
      <c r="F211" s="7">
        <v>113247.29</v>
      </c>
      <c r="G211" s="20">
        <f t="shared" si="6"/>
        <v>-3.690621189522858E-2</v>
      </c>
    </row>
    <row r="212" spans="2:7" x14ac:dyDescent="0.35">
      <c r="B212" s="24">
        <v>45669</v>
      </c>
      <c r="C212" s="7">
        <v>387.02</v>
      </c>
      <c r="D212" s="20">
        <f t="shared" si="7"/>
        <v>8.5737367419800314E-3</v>
      </c>
      <c r="F212" s="7">
        <v>115272.08</v>
      </c>
      <c r="G212" s="20">
        <f t="shared" si="6"/>
        <v>1.7879368239187121E-2</v>
      </c>
    </row>
    <row r="213" spans="2:7" x14ac:dyDescent="0.35">
      <c r="B213" s="24">
        <v>45676</v>
      </c>
      <c r="C213" s="7">
        <v>408.06</v>
      </c>
      <c r="D213" s="20">
        <f t="shared" si="7"/>
        <v>5.436411554958398E-2</v>
      </c>
      <c r="F213" s="7">
        <v>114880.49</v>
      </c>
      <c r="G213" s="20">
        <f t="shared" si="6"/>
        <v>-3.3970932076526905E-3</v>
      </c>
    </row>
    <row r="214" spans="2:7" x14ac:dyDescent="0.35">
      <c r="B214" s="24">
        <v>45683</v>
      </c>
      <c r="C214" s="7">
        <v>391.51</v>
      </c>
      <c r="D214" s="20">
        <f t="shared" si="7"/>
        <v>-4.0557761113561797E-2</v>
      </c>
      <c r="F214" s="7">
        <v>114255.73</v>
      </c>
      <c r="G214" s="20">
        <f t="shared" si="6"/>
        <v>-5.4383472772444597E-3</v>
      </c>
    </row>
    <row r="215" spans="2:7" x14ac:dyDescent="0.35">
      <c r="B215" s="24">
        <v>45690</v>
      </c>
      <c r="C215" s="7">
        <v>382.81</v>
      </c>
      <c r="D215" s="20">
        <f t="shared" si="7"/>
        <v>-2.2221654619294484E-2</v>
      </c>
      <c r="F215" s="7">
        <v>110322.94</v>
      </c>
      <c r="G215" s="20">
        <f t="shared" si="6"/>
        <v>-3.4420943264727222E-2</v>
      </c>
    </row>
    <row r="216" spans="2:7" x14ac:dyDescent="0.35">
      <c r="B216" s="24">
        <v>45697</v>
      </c>
      <c r="C216" s="7">
        <v>390.64</v>
      </c>
      <c r="D216" s="20">
        <f t="shared" si="7"/>
        <v>2.0454011128235861E-2</v>
      </c>
      <c r="F216" s="7">
        <v>112085.3</v>
      </c>
      <c r="G216" s="20">
        <f t="shared" si="6"/>
        <v>1.5974556153053987E-2</v>
      </c>
    </row>
    <row r="217" spans="2:7" x14ac:dyDescent="0.35">
      <c r="B217" s="24">
        <v>45704</v>
      </c>
      <c r="C217" s="7">
        <v>396.64</v>
      </c>
      <c r="D217" s="20">
        <f t="shared" si="7"/>
        <v>1.5359410198648282E-2</v>
      </c>
      <c r="F217" s="7">
        <v>112800.93</v>
      </c>
      <c r="G217" s="20">
        <f t="shared" si="6"/>
        <v>6.384690945199667E-3</v>
      </c>
    </row>
    <row r="218" spans="2:7" x14ac:dyDescent="0.35">
      <c r="B218" s="24">
        <v>45711</v>
      </c>
      <c r="C218" s="7">
        <v>397.45</v>
      </c>
      <c r="D218" s="20">
        <f t="shared" si="7"/>
        <v>2.0421540943929006E-3</v>
      </c>
      <c r="F218" s="7">
        <v>113251.67</v>
      </c>
      <c r="G218" s="20">
        <f t="shared" si="6"/>
        <v>3.9958890409856895E-3</v>
      </c>
    </row>
    <row r="219" spans="2:7" x14ac:dyDescent="0.35">
      <c r="B219" s="24">
        <v>45718</v>
      </c>
      <c r="C219" s="7">
        <v>396.02</v>
      </c>
      <c r="D219" s="20">
        <f t="shared" si="7"/>
        <v>-3.5979368474021722E-3</v>
      </c>
      <c r="F219" s="7">
        <v>114398.7</v>
      </c>
      <c r="G219" s="20">
        <f t="shared" si="6"/>
        <v>1.0128150869651575E-2</v>
      </c>
    </row>
    <row r="220" spans="2:7" x14ac:dyDescent="0.35">
      <c r="B220" s="24">
        <v>45725</v>
      </c>
      <c r="C220" s="7">
        <v>397.49</v>
      </c>
      <c r="D220" s="20">
        <f t="shared" si="7"/>
        <v>3.711933740720319E-3</v>
      </c>
      <c r="F220" s="7">
        <v>115536.17</v>
      </c>
      <c r="G220" s="20">
        <f t="shared" si="6"/>
        <v>9.9430325694260802E-3</v>
      </c>
    </row>
    <row r="221" spans="2:7" x14ac:dyDescent="0.35">
      <c r="B221" s="24">
        <v>45732</v>
      </c>
      <c r="C221" s="7">
        <v>378.2</v>
      </c>
      <c r="D221" s="20">
        <f t="shared" si="7"/>
        <v>-4.8529522755289545E-2</v>
      </c>
      <c r="F221" s="7">
        <v>118442.18</v>
      </c>
      <c r="G221" s="20">
        <f t="shared" si="6"/>
        <v>2.5152383015639046E-2</v>
      </c>
    </row>
    <row r="222" spans="2:7" x14ac:dyDescent="0.35">
      <c r="B222" s="24">
        <v>45739</v>
      </c>
      <c r="C222" s="7">
        <v>369.76</v>
      </c>
      <c r="D222" s="20">
        <f t="shared" si="7"/>
        <v>-2.2316234796403989E-2</v>
      </c>
      <c r="F222" s="7">
        <v>117806.75</v>
      </c>
      <c r="G222" s="20">
        <f t="shared" si="6"/>
        <v>-5.3648961881653801E-3</v>
      </c>
    </row>
    <row r="223" spans="2:7" x14ac:dyDescent="0.35">
      <c r="B223" s="24">
        <v>45746</v>
      </c>
      <c r="C223" s="7">
        <v>370.38</v>
      </c>
      <c r="D223" s="20">
        <f t="shared" si="7"/>
        <v>1.6767633059282527E-3</v>
      </c>
      <c r="F223" s="7">
        <v>118791.66</v>
      </c>
      <c r="G223" s="20">
        <f t="shared" si="6"/>
        <v>8.3603868199402243E-3</v>
      </c>
    </row>
    <row r="224" spans="2:7" x14ac:dyDescent="0.35">
      <c r="B224" s="24">
        <v>45753</v>
      </c>
      <c r="C224" s="7">
        <v>355.82</v>
      </c>
      <c r="D224" s="20">
        <f t="shared" si="7"/>
        <v>-3.9310977914574274E-2</v>
      </c>
      <c r="F224" s="7">
        <v>114853.33</v>
      </c>
      <c r="G224" s="20">
        <f t="shared" si="6"/>
        <v>-3.3153253351287493E-2</v>
      </c>
    </row>
    <row r="225" spans="2:7" x14ac:dyDescent="0.35">
      <c r="B225" s="24">
        <v>45760</v>
      </c>
      <c r="C225" s="7">
        <v>344.62</v>
      </c>
      <c r="D225" s="20">
        <f t="shared" si="7"/>
        <v>-3.1476589286717926E-2</v>
      </c>
      <c r="F225" s="7">
        <v>117315.59</v>
      </c>
      <c r="G225" s="20">
        <f t="shared" si="6"/>
        <v>2.1438298741534023E-2</v>
      </c>
    </row>
    <row r="226" spans="2:7" x14ac:dyDescent="0.35">
      <c r="B226" s="24">
        <v>45767</v>
      </c>
      <c r="C226" s="7">
        <v>358.89</v>
      </c>
      <c r="D226" s="20">
        <f t="shared" si="7"/>
        <v>4.140792757239864E-2</v>
      </c>
      <c r="F226" s="7">
        <v>115469.35</v>
      </c>
      <c r="G226" s="20">
        <f t="shared" si="6"/>
        <v>-1.5737379831614828E-2</v>
      </c>
    </row>
    <row r="227" spans="2:7" x14ac:dyDescent="0.35">
      <c r="B227" s="24">
        <v>45774</v>
      </c>
      <c r="C227" s="7">
        <v>351.86</v>
      </c>
      <c r="D227" s="20">
        <f t="shared" si="7"/>
        <v>-1.9588174649614043E-2</v>
      </c>
      <c r="F227" s="7">
        <v>114113.94</v>
      </c>
      <c r="G227" s="20">
        <f t="shared" si="6"/>
        <v>-1.1738266475042947E-2</v>
      </c>
    </row>
    <row r="228" spans="2:7" x14ac:dyDescent="0.35">
      <c r="B228" s="24">
        <v>45781</v>
      </c>
      <c r="C228" s="7">
        <v>337.66</v>
      </c>
      <c r="D228" s="20">
        <f t="shared" si="7"/>
        <v>-4.035696015460688E-2</v>
      </c>
      <c r="F228" s="7">
        <v>107174.64</v>
      </c>
      <c r="G228" s="20">
        <f t="shared" si="6"/>
        <v>-6.0810274362623873E-2</v>
      </c>
    </row>
    <row r="229" spans="2:7" x14ac:dyDescent="0.35">
      <c r="B229" s="24">
        <v>45788</v>
      </c>
      <c r="C229" s="7">
        <v>368.36</v>
      </c>
      <c r="D229" s="20">
        <f t="shared" si="7"/>
        <v>9.0919860214416781E-2</v>
      </c>
      <c r="F229" s="7">
        <v>119649.14</v>
      </c>
      <c r="G229" s="20">
        <f t="shared" si="6"/>
        <v>0.11639413950912258</v>
      </c>
    </row>
    <row r="230" spans="2:7" x14ac:dyDescent="0.35">
      <c r="B230" s="24">
        <v>45795</v>
      </c>
      <c r="C230" s="7">
        <v>360.04</v>
      </c>
      <c r="D230" s="20">
        <f t="shared" si="7"/>
        <v>-2.2586600065153672E-2</v>
      </c>
      <c r="F230" s="7">
        <v>119102.67</v>
      </c>
      <c r="G230" s="20">
        <f t="shared" si="6"/>
        <v>-4.5672706047030776E-3</v>
      </c>
    </row>
    <row r="231" spans="2:7" x14ac:dyDescent="0.35">
      <c r="B231" s="24">
        <v>45802</v>
      </c>
      <c r="C231" s="7">
        <v>367.39</v>
      </c>
      <c r="D231" s="20">
        <f t="shared" si="7"/>
        <v>2.0414398400177669E-2</v>
      </c>
      <c r="F231" s="7">
        <v>119691.09</v>
      </c>
      <c r="G231" s="20">
        <f t="shared" si="6"/>
        <v>4.9404434006390385E-3</v>
      </c>
    </row>
    <row r="232" spans="2:7" x14ac:dyDescent="0.35">
      <c r="B232" s="24">
        <v>45809</v>
      </c>
      <c r="C232" s="7">
        <v>372.93</v>
      </c>
      <c r="D232" s="20">
        <f t="shared" si="7"/>
        <v>1.5079343476959162E-2</v>
      </c>
      <c r="F232" s="7">
        <v>121641</v>
      </c>
      <c r="G232" s="20">
        <f t="shared" si="6"/>
        <v>1.6291187589652756E-2</v>
      </c>
    </row>
    <row r="233" spans="2:7" x14ac:dyDescent="0.35">
      <c r="B233" s="24">
        <v>45816</v>
      </c>
      <c r="C233" s="7">
        <v>378.59</v>
      </c>
      <c r="D233" s="20">
        <f t="shared" si="7"/>
        <v>1.5177110985975739E-2</v>
      </c>
      <c r="F233" s="7">
        <v>122143.57</v>
      </c>
      <c r="G233" s="20">
        <f t="shared" si="6"/>
        <v>4.1315839231839124E-3</v>
      </c>
    </row>
    <row r="234" spans="2:7" x14ac:dyDescent="0.35">
      <c r="B234" s="24">
        <v>45823</v>
      </c>
      <c r="C234" s="7">
        <v>374.05</v>
      </c>
      <c r="D234" s="20">
        <f t="shared" si="7"/>
        <v>-1.1991864550040865E-2</v>
      </c>
      <c r="F234" s="7">
        <v>120023.24</v>
      </c>
      <c r="G234" s="20">
        <f t="shared" si="6"/>
        <v>-1.7359325587093966E-2</v>
      </c>
    </row>
    <row r="235" spans="2:7" x14ac:dyDescent="0.35">
      <c r="B235" s="24">
        <v>45830</v>
      </c>
      <c r="C235" s="7">
        <v>386.54</v>
      </c>
      <c r="D235" s="20">
        <f t="shared" si="7"/>
        <v>3.3391257853228273E-2</v>
      </c>
      <c r="F235" s="7">
        <v>124379.07</v>
      </c>
      <c r="G235" s="20">
        <f t="shared" si="6"/>
        <v>3.629155486887381E-2</v>
      </c>
    </row>
    <row r="236" spans="2:7" x14ac:dyDescent="0.35">
      <c r="B236" s="24">
        <v>45837</v>
      </c>
      <c r="C236" s="7">
        <v>404.86</v>
      </c>
      <c r="D236" s="20">
        <f t="shared" si="7"/>
        <v>4.7394836239457838E-2</v>
      </c>
      <c r="F236" s="7">
        <v>131949.06</v>
      </c>
      <c r="G236" s="20">
        <f t="shared" si="6"/>
        <v>6.0862249573018889E-2</v>
      </c>
    </row>
    <row r="237" spans="2:7" x14ac:dyDescent="0.35">
      <c r="B237" s="24">
        <v>45844</v>
      </c>
      <c r="C237" s="7">
        <v>405.75</v>
      </c>
      <c r="D237" s="20">
        <f t="shared" si="7"/>
        <v>2.1982907671787011E-3</v>
      </c>
      <c r="F237" s="7">
        <v>134299.76999999999</v>
      </c>
      <c r="G237" s="20">
        <f t="shared" si="6"/>
        <v>1.7815284171027734E-2</v>
      </c>
    </row>
    <row r="238" spans="2:7" x14ac:dyDescent="0.35">
      <c r="B238" s="24">
        <v>45851</v>
      </c>
      <c r="C238" s="7">
        <v>469.56</v>
      </c>
      <c r="D238" s="20">
        <f t="shared" si="7"/>
        <v>0.15726432532347512</v>
      </c>
      <c r="F238" s="7">
        <v>138597.35999999999</v>
      </c>
      <c r="G238" s="20">
        <f t="shared" si="6"/>
        <v>3.1999980342483081E-2</v>
      </c>
    </row>
    <row r="239" spans="2:7" x14ac:dyDescent="0.35">
      <c r="B239" s="24">
        <v>45858</v>
      </c>
      <c r="C239" s="7">
        <v>462.93</v>
      </c>
      <c r="D239" s="20">
        <f t="shared" si="7"/>
        <v>-1.4119601328903664E-2</v>
      </c>
      <c r="F239" s="7">
        <v>139207.29999999999</v>
      </c>
      <c r="G239" s="20">
        <f t="shared" si="6"/>
        <v>4.4008053255848445E-3</v>
      </c>
    </row>
    <row r="240" spans="2:7" x14ac:dyDescent="0.35">
      <c r="B240" s="24">
        <v>45865</v>
      </c>
      <c r="C240" s="7">
        <v>458.47</v>
      </c>
      <c r="D240" s="20">
        <f t="shared" si="7"/>
        <v>-9.6342859611603382E-3</v>
      </c>
      <c r="F240" s="7">
        <v>141034.98000000001</v>
      </c>
      <c r="G240" s="20">
        <f t="shared" si="6"/>
        <v>1.3129196529205078E-2</v>
      </c>
    </row>
    <row r="241" spans="2:7" x14ac:dyDescent="0.35">
      <c r="B241" s="24">
        <v>45872</v>
      </c>
      <c r="C241" s="7">
        <v>453.23</v>
      </c>
      <c r="D241" s="20">
        <f t="shared" si="7"/>
        <v>-1.1429319257530546E-2</v>
      </c>
      <c r="F241" s="7">
        <v>145382.79999999999</v>
      </c>
      <c r="G241" s="20">
        <f t="shared" si="6"/>
        <v>3.0827954880413122E-2</v>
      </c>
    </row>
    <row r="242" spans="2:7" x14ac:dyDescent="0.35">
      <c r="B242" s="24">
        <v>45879</v>
      </c>
      <c r="C242" s="7">
        <v>442.33</v>
      </c>
      <c r="D242" s="20">
        <f t="shared" si="7"/>
        <v>-2.4049599541071887E-2</v>
      </c>
      <c r="F242" s="7">
        <v>146491.63</v>
      </c>
      <c r="G242" s="20">
        <f t="shared" si="6"/>
        <v>7.6269682520904158E-3</v>
      </c>
    </row>
    <row r="243" spans="2:7" x14ac:dyDescent="0.35">
      <c r="B243" s="24">
        <v>45886</v>
      </c>
      <c r="C243" s="7">
        <v>437.12</v>
      </c>
      <c r="D243" s="20">
        <f t="shared" si="7"/>
        <v>-1.1778536386860439E-2</v>
      </c>
      <c r="F243" s="7">
        <v>149493.06</v>
      </c>
      <c r="G243" s="20">
        <f t="shared" si="6"/>
        <v>2.0488747377580552E-2</v>
      </c>
    </row>
    <row r="244" spans="2:7" x14ac:dyDescent="0.35">
      <c r="B244" s="24">
        <v>45893</v>
      </c>
      <c r="C244" s="7">
        <v>436.31</v>
      </c>
      <c r="D244" s="20">
        <f t="shared" si="7"/>
        <v>-1.8530380673499325E-3</v>
      </c>
      <c r="F244" s="7">
        <v>148617.78</v>
      </c>
      <c r="G244" s="20">
        <f t="shared" si="6"/>
        <v>-5.8549875158083742E-3</v>
      </c>
    </row>
    <row r="245" spans="2:7" x14ac:dyDescent="0.35">
      <c r="B245" s="24">
        <v>45900</v>
      </c>
      <c r="C245" s="7">
        <v>447.08</v>
      </c>
      <c r="D245" s="20">
        <f t="shared" si="7"/>
        <v>2.4684284109921739E-2</v>
      </c>
      <c r="F245" s="7">
        <v>154277.19</v>
      </c>
      <c r="G245" s="20">
        <f t="shared" si="6"/>
        <v>3.8080302370281593E-2</v>
      </c>
    </row>
    <row r="246" spans="2:7" x14ac:dyDescent="0.35">
      <c r="B246" s="24">
        <v>45907</v>
      </c>
      <c r="C246" s="7">
        <v>446.99</v>
      </c>
      <c r="D246" s="20">
        <f t="shared" si="7"/>
        <v>-2.0130625391423518E-4</v>
      </c>
      <c r="F246" s="7">
        <v>154439.69</v>
      </c>
      <c r="G246" s="20">
        <f t="shared" si="6"/>
        <v>1.0532989355069855E-3</v>
      </c>
    </row>
    <row r="247" spans="2:7" x14ac:dyDescent="0.35">
      <c r="B247" s="24">
        <v>45914</v>
      </c>
      <c r="C247" s="7">
        <v>451.65</v>
      </c>
      <c r="D247" s="20">
        <f t="shared" si="7"/>
        <v>1.0425289156356987E-2</v>
      </c>
      <c r="F247" s="7">
        <v>158037.38</v>
      </c>
      <c r="G247" s="20">
        <f t="shared" si="6"/>
        <v>2.3295112804228024E-2</v>
      </c>
    </row>
    <row r="248" spans="2:7" x14ac:dyDescent="0.35">
      <c r="B248" s="24">
        <v>45921</v>
      </c>
      <c r="C248" s="7">
        <v>453.54</v>
      </c>
      <c r="D248" s="20">
        <f t="shared" si="7"/>
        <v>4.1846562603786719E-3</v>
      </c>
      <c r="F248" s="7">
        <v>162257.01999999999</v>
      </c>
      <c r="G248" s="20">
        <f t="shared" si="6"/>
        <v>2.670026546884019E-2</v>
      </c>
    </row>
    <row r="249" spans="2:7" x14ac:dyDescent="0.35">
      <c r="B249" s="24">
        <v>45928</v>
      </c>
      <c r="C249" s="7">
        <v>481.69</v>
      </c>
      <c r="D249" s="20">
        <f t="shared" si="7"/>
        <v>6.2067292851788025E-2</v>
      </c>
      <c r="F249" s="7">
        <v>168990.06</v>
      </c>
      <c r="G249" s="20">
        <f t="shared" si="6"/>
        <v>4.1496139889664052E-2</v>
      </c>
    </row>
    <row r="250" spans="2:7" x14ac:dyDescent="0.35">
      <c r="B250" s="24">
        <v>45935</v>
      </c>
      <c r="C250" s="7">
        <v>481.04</v>
      </c>
      <c r="D250" s="20">
        <f t="shared" si="7"/>
        <v>-1.3494155992442858E-3</v>
      </c>
      <c r="F250" s="7">
        <v>163098.19</v>
      </c>
      <c r="G250" s="20">
        <f t="shared" si="6"/>
        <v>-3.4865186745303256E-2</v>
      </c>
    </row>
    <row r="251" spans="2:7" x14ac:dyDescent="0.35">
      <c r="B251" s="24">
        <v>45942</v>
      </c>
      <c r="C251" s="7">
        <v>477.23</v>
      </c>
      <c r="D251" s="20">
        <f t="shared" si="7"/>
        <v>-7.9203392649259685E-3</v>
      </c>
      <c r="F251" s="7">
        <v>163806.22</v>
      </c>
      <c r="G251" s="20">
        <f t="shared" si="6"/>
        <v>4.3411272681812552E-3</v>
      </c>
    </row>
    <row r="252" spans="2:7" x14ac:dyDescent="0.35">
      <c r="B252" s="24">
        <v>45949</v>
      </c>
      <c r="C252" s="7">
        <v>477.28</v>
      </c>
      <c r="D252" s="20">
        <f t="shared" si="7"/>
        <v>1.0477128428632021E-4</v>
      </c>
      <c r="F252" s="7">
        <v>163304.13</v>
      </c>
      <c r="G252" s="20">
        <f t="shared" si="6"/>
        <v>-3.065146122045892E-3</v>
      </c>
    </row>
    <row r="253" spans="2:7" x14ac:dyDescent="0.35">
      <c r="B253" s="24">
        <v>45956</v>
      </c>
      <c r="C253" s="7">
        <v>488.86</v>
      </c>
      <c r="D253" s="20">
        <f t="shared" si="7"/>
        <v>2.4262487428763135E-2</v>
      </c>
      <c r="F253" s="7">
        <v>161631.73000000001</v>
      </c>
      <c r="G253" s="20">
        <f t="shared" si="6"/>
        <v>-1.0241014725102193E-2</v>
      </c>
    </row>
    <row r="254" spans="2:7" x14ac:dyDescent="0.35">
      <c r="B254" s="24">
        <v>45963</v>
      </c>
      <c r="C254" s="7">
        <v>489.44</v>
      </c>
      <c r="D254" s="20">
        <f t="shared" si="7"/>
        <v>1.1864337438121098E-3</v>
      </c>
      <c r="F254" s="7">
        <v>159592.91</v>
      </c>
      <c r="G254" s="20">
        <f t="shared" si="6"/>
        <v>-1.2613983652838501E-2</v>
      </c>
    </row>
    <row r="255" spans="2:7" x14ac:dyDescent="0.35">
      <c r="B255" s="24">
        <v>45970</v>
      </c>
      <c r="C255" s="7">
        <v>531.77</v>
      </c>
      <c r="D255" s="20">
        <f t="shared" si="7"/>
        <v>8.6486596927100257E-2</v>
      </c>
      <c r="F255" s="7">
        <v>161935.19</v>
      </c>
      <c r="G255" s="20">
        <f t="shared" si="6"/>
        <v>1.4676591836065844E-2</v>
      </c>
    </row>
    <row r="256" spans="2:7" x14ac:dyDescent="0.35">
      <c r="B256" s="24">
        <v>45977</v>
      </c>
      <c r="C256" s="7">
        <v>557.37</v>
      </c>
      <c r="D256" s="20">
        <f t="shared" si="7"/>
        <v>4.8141113639355471E-2</v>
      </c>
      <c r="F256" s="7">
        <v>162102.92000000001</v>
      </c>
      <c r="G256" s="20">
        <f t="shared" si="6"/>
        <v>1.0357847482069804E-3</v>
      </c>
    </row>
    <row r="257" spans="2:7" x14ac:dyDescent="0.35">
      <c r="B257" s="24">
        <v>45984</v>
      </c>
      <c r="C257" s="7">
        <v>586.17999999999995</v>
      </c>
      <c r="D257" s="20">
        <f t="shared" si="7"/>
        <v>5.168918312790427E-2</v>
      </c>
      <c r="F257" s="7">
        <v>166677.70000000001</v>
      </c>
      <c r="G257" s="20">
        <f t="shared" si="6"/>
        <v>2.8221453382826223E-2</v>
      </c>
    </row>
    <row r="258" spans="2:7" x14ac:dyDescent="0.35">
      <c r="B258" s="24">
        <v>45991</v>
      </c>
      <c r="C258" s="7">
        <v>567.45000000000005</v>
      </c>
      <c r="D258" s="20">
        <f t="shared" si="7"/>
        <v>-3.1952642533010223E-2</v>
      </c>
      <c r="F258" s="7">
        <v>167085.57999999999</v>
      </c>
      <c r="G258" s="20">
        <f t="shared" si="6"/>
        <v>2.4471180007881177E-3</v>
      </c>
    </row>
    <row r="259" spans="2:7" x14ac:dyDescent="0.35">
      <c r="B259" s="24">
        <v>45998</v>
      </c>
      <c r="C259" s="7">
        <v>584.94000000000005</v>
      </c>
      <c r="D259" s="20">
        <f t="shared" si="7"/>
        <v>3.0822098863336089E-2</v>
      </c>
      <c r="F259" s="7">
        <v>169864.53</v>
      </c>
      <c r="G259" s="20">
        <f t="shared" si="6"/>
        <v>1.6631896061886531E-2</v>
      </c>
    </row>
    <row r="260" spans="2:7" x14ac:dyDescent="0.35">
      <c r="B260" s="24">
        <v>46005</v>
      </c>
      <c r="C260" s="7">
        <v>585</v>
      </c>
      <c r="D260" s="20">
        <f t="shared" si="7"/>
        <v>1.0257462303808751E-4</v>
      </c>
      <c r="F260" s="7">
        <v>171404.48</v>
      </c>
      <c r="G260" s="20">
        <f t="shared" si="6"/>
        <v>9.0657537509450936E-3</v>
      </c>
    </row>
    <row r="261" spans="2:7" x14ac:dyDescent="0.35">
      <c r="B261" s="24">
        <v>46012</v>
      </c>
      <c r="C261" s="7">
        <v>585.25</v>
      </c>
      <c r="D261" s="20">
        <f t="shared" si="7"/>
        <v>4.2735042735042583E-4</v>
      </c>
      <c r="F261" s="7">
        <v>172400.73</v>
      </c>
      <c r="G261" s="20">
        <f t="shared" si="6"/>
        <v>5.8122751517346583E-3</v>
      </c>
    </row>
    <row r="262" spans="2:7" x14ac:dyDescent="0.35">
      <c r="B262" s="24">
        <v>46019</v>
      </c>
      <c r="C262" s="7">
        <v>595.91</v>
      </c>
      <c r="D262" s="20">
        <f t="shared" si="7"/>
        <v>1.821443827424174E-2</v>
      </c>
      <c r="F262" s="7">
        <v>179034.94</v>
      </c>
      <c r="G262" s="20">
        <f>F262/F261 -1</f>
        <v>3.8481333576719789E-2</v>
      </c>
    </row>
    <row r="263" spans="2:7" x14ac:dyDescent="0.35">
      <c r="B263" s="24">
        <v>46026</v>
      </c>
      <c r="C263" s="7">
        <v>599.44000000000005</v>
      </c>
      <c r="D263" s="20">
        <f t="shared" si="7"/>
        <v>5.923713312413037E-3</v>
      </c>
      <c r="F263" s="7">
        <v>184409.67</v>
      </c>
      <c r="G263" s="20">
        <f>F263/F262 -1</f>
        <v>3.0020564700946162E-2</v>
      </c>
    </row>
    <row r="264" spans="2:7" x14ac:dyDescent="0.35">
      <c r="B264" s="24">
        <v>46033</v>
      </c>
      <c r="C264" s="7">
        <v>593.12</v>
      </c>
      <c r="D264" s="20">
        <f t="shared" ref="D264:D327" si="8">C264/C263 -1</f>
        <v>-1.0543173628720259E-2</v>
      </c>
      <c r="F264" s="7">
        <v>185098.83</v>
      </c>
      <c r="G264" s="20">
        <f>F264/F263 -1</f>
        <v>3.7371142196609419E-3</v>
      </c>
    </row>
    <row r="265" spans="2:7" x14ac:dyDescent="0.35">
      <c r="B265" s="24">
        <v>46040</v>
      </c>
      <c r="C265" s="7">
        <v>650.82000000000005</v>
      </c>
      <c r="D265" s="20">
        <f t="shared" si="8"/>
        <v>9.7282168869706087E-2</v>
      </c>
      <c r="F265" s="7">
        <v>189166.83</v>
      </c>
      <c r="G265" s="20">
        <f>F265/F264 -1</f>
        <v>2.1977448479820305E-2</v>
      </c>
    </row>
    <row r="266" spans="2:7" x14ac:dyDescent="0.35">
      <c r="B266" s="24">
        <v>46047</v>
      </c>
      <c r="C266" s="7">
        <v>587.99</v>
      </c>
      <c r="D266" s="20">
        <f t="shared" si="8"/>
        <v>-9.6539749854030354E-2</v>
      </c>
      <c r="F266" s="7">
        <v>184003.64</v>
      </c>
      <c r="G266" s="20">
        <f>F266/F265 -1</f>
        <v>-2.7294372908823306E-2</v>
      </c>
    </row>
    <row r="267" spans="2:7" x14ac:dyDescent="0.35">
      <c r="B267" s="23"/>
    </row>
  </sheetData>
  <mergeCells count="2">
    <mergeCell ref="I6:K6"/>
    <mergeCell ref="N37:R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4A7F-AF67-453B-BE32-D31CC5A7282A}">
  <dimension ref="B2:V266"/>
  <sheetViews>
    <sheetView showGridLines="0" topLeftCell="F19" workbookViewId="0">
      <selection activeCell="N34" sqref="N34"/>
    </sheetView>
  </sheetViews>
  <sheetFormatPr defaultRowHeight="14.5" x14ac:dyDescent="0.35"/>
  <cols>
    <col min="1" max="1" width="1.81640625" customWidth="1"/>
    <col min="2" max="2" width="10.90625" customWidth="1"/>
    <col min="3" max="3" width="11.1796875" bestFit="1" customWidth="1"/>
    <col min="4" max="4" width="7.453125" bestFit="1" customWidth="1"/>
    <col min="6" max="6" width="11.1796875" bestFit="1" customWidth="1"/>
    <col min="7" max="7" width="7.26953125" bestFit="1" customWidth="1"/>
    <col min="9" max="9" width="18" bestFit="1" customWidth="1"/>
    <col min="11" max="11" width="4.81640625" bestFit="1" customWidth="1"/>
    <col min="14" max="14" width="30.08984375" bestFit="1" customWidth="1"/>
    <col min="15" max="15" width="11.81640625" bestFit="1" customWidth="1"/>
    <col min="16" max="16" width="13.54296875" bestFit="1" customWidth="1"/>
    <col min="17" max="18" width="11.81640625" bestFit="1" customWidth="1"/>
    <col min="19" max="19" width="12.453125" bestFit="1" customWidth="1"/>
    <col min="20" max="20" width="11.81640625" bestFit="1" customWidth="1"/>
  </cols>
  <sheetData>
    <row r="2" spans="2:16" ht="18.5" x14ac:dyDescent="0.45">
      <c r="B2" s="26" t="s">
        <v>38</v>
      </c>
      <c r="C2" s="2"/>
      <c r="D2" s="2"/>
    </row>
    <row r="4" spans="2:16" ht="18.5" x14ac:dyDescent="0.45">
      <c r="B4" s="26" t="s">
        <v>68</v>
      </c>
      <c r="C4" s="2"/>
      <c r="D4" s="2"/>
      <c r="N4" t="s">
        <v>69</v>
      </c>
      <c r="P4">
        <f>SLOPE(D8:D266,G8:G266)</f>
        <v>0.82095711068096711</v>
      </c>
    </row>
    <row r="5" spans="2:16" x14ac:dyDescent="0.35">
      <c r="N5" t="s">
        <v>70</v>
      </c>
      <c r="P5">
        <f>_xlfn.COVARIANCE.S(D8:D266,G8:G266)/_xlfn.VAR.S(G8:G266)</f>
        <v>0.82095711068096655</v>
      </c>
    </row>
    <row r="6" spans="2:16" ht="15" thickBot="1" x14ac:dyDescent="0.4">
      <c r="B6" s="31" t="s">
        <v>34</v>
      </c>
      <c r="C6" s="32" t="s">
        <v>35</v>
      </c>
      <c r="D6" s="32" t="s">
        <v>36</v>
      </c>
      <c r="F6" s="32" t="s">
        <v>35</v>
      </c>
      <c r="G6" s="32" t="s">
        <v>36</v>
      </c>
      <c r="I6" s="53" t="s">
        <v>94</v>
      </c>
      <c r="J6" s="53"/>
      <c r="K6" s="53"/>
      <c r="N6" t="s">
        <v>71</v>
      </c>
      <c r="P6">
        <f>O25</f>
        <v>0.82095711068096788</v>
      </c>
    </row>
    <row r="7" spans="2:16" x14ac:dyDescent="0.35">
      <c r="B7" s="24">
        <v>44227</v>
      </c>
      <c r="C7" s="33">
        <v>64.900000000000006</v>
      </c>
      <c r="D7" s="33"/>
      <c r="F7" s="34">
        <v>46905.79</v>
      </c>
      <c r="G7" s="35"/>
      <c r="I7" t="s">
        <v>95</v>
      </c>
      <c r="K7" s="7">
        <f>P6</f>
        <v>0.82095711068096788</v>
      </c>
    </row>
    <row r="8" spans="2:16" x14ac:dyDescent="0.35">
      <c r="B8" s="24">
        <v>44234</v>
      </c>
      <c r="C8" s="33">
        <v>63.29</v>
      </c>
      <c r="D8" s="37">
        <f>C8/C7 -1</f>
        <v>-2.4807395993836745E-2</v>
      </c>
      <c r="F8" s="34">
        <v>45808.36</v>
      </c>
      <c r="G8" s="35">
        <f t="shared" ref="G8:G71" si="0">F8/F7 -1</f>
        <v>-2.3396471949411746E-2</v>
      </c>
      <c r="I8" t="s">
        <v>96</v>
      </c>
      <c r="K8" s="39">
        <v>0.67</v>
      </c>
      <c r="N8" t="s">
        <v>42</v>
      </c>
    </row>
    <row r="9" spans="2:16" ht="15" thickBot="1" x14ac:dyDescent="0.4">
      <c r="B9" s="24">
        <v>44241</v>
      </c>
      <c r="C9" s="33">
        <v>65.099999999999994</v>
      </c>
      <c r="D9" s="37">
        <f t="shared" ref="D9:D71" si="1">C9/C8 -1</f>
        <v>2.8598514773265915E-2</v>
      </c>
      <c r="F9" s="34">
        <v>46227.65</v>
      </c>
      <c r="G9" s="35">
        <f t="shared" si="0"/>
        <v>9.1531327469482893E-3</v>
      </c>
    </row>
    <row r="10" spans="2:16" x14ac:dyDescent="0.35">
      <c r="B10" s="24">
        <v>44248</v>
      </c>
      <c r="C10" s="33">
        <v>65.16</v>
      </c>
      <c r="D10" s="37">
        <f t="shared" si="1"/>
        <v>9.2165898617513342E-4</v>
      </c>
      <c r="F10" s="34">
        <v>45865.02</v>
      </c>
      <c r="G10" s="35">
        <f t="shared" si="0"/>
        <v>-7.8444394209959967E-3</v>
      </c>
      <c r="I10" t="s">
        <v>97</v>
      </c>
      <c r="K10">
        <v>1</v>
      </c>
      <c r="N10" s="29" t="s">
        <v>43</v>
      </c>
      <c r="O10" s="29"/>
    </row>
    <row r="11" spans="2:16" x14ac:dyDescent="0.35">
      <c r="B11" s="24">
        <v>44255</v>
      </c>
      <c r="C11" s="33">
        <v>65.78</v>
      </c>
      <c r="D11" s="37">
        <f t="shared" si="1"/>
        <v>9.5150399017802645E-3</v>
      </c>
      <c r="F11" s="34">
        <v>45837.35</v>
      </c>
      <c r="G11" s="35">
        <f t="shared" si="0"/>
        <v>-6.0329200772180069E-4</v>
      </c>
      <c r="I11" t="s">
        <v>98</v>
      </c>
      <c r="K11" s="39">
        <v>0.33</v>
      </c>
      <c r="N11" t="s">
        <v>44</v>
      </c>
      <c r="O11">
        <v>0.56642248636552694</v>
      </c>
    </row>
    <row r="12" spans="2:16" ht="15" thickBot="1" x14ac:dyDescent="0.4">
      <c r="B12" s="24">
        <v>44262</v>
      </c>
      <c r="C12" s="33">
        <v>64.47</v>
      </c>
      <c r="D12" s="37">
        <f t="shared" si="1"/>
        <v>-1.9914867740954745E-2</v>
      </c>
      <c r="F12" s="34">
        <v>43788.08</v>
      </c>
      <c r="G12" s="35">
        <f t="shared" si="0"/>
        <v>-4.4707427458175464E-2</v>
      </c>
      <c r="N12" t="s">
        <v>45</v>
      </c>
      <c r="O12">
        <v>0.32083443306050552</v>
      </c>
    </row>
    <row r="13" spans="2:16" ht="15" thickBot="1" x14ac:dyDescent="0.4">
      <c r="B13" s="24">
        <v>44269</v>
      </c>
      <c r="C13" s="33">
        <v>62.59</v>
      </c>
      <c r="D13" s="37">
        <f t="shared" si="1"/>
        <v>-2.9160850007755479E-2</v>
      </c>
      <c r="F13" s="34">
        <v>44901.31</v>
      </c>
      <c r="G13" s="35">
        <f t="shared" si="0"/>
        <v>2.5423128851504773E-2</v>
      </c>
      <c r="I13" s="59" t="s">
        <v>99</v>
      </c>
      <c r="J13" s="59"/>
      <c r="K13" s="59">
        <f>(K7*K8) + (K10*K11)</f>
        <v>0.8800412641562485</v>
      </c>
      <c r="N13" t="s">
        <v>46</v>
      </c>
      <c r="O13">
        <v>0.31819176548486544</v>
      </c>
    </row>
    <row r="14" spans="2:16" x14ac:dyDescent="0.35">
      <c r="B14" s="24">
        <v>44276</v>
      </c>
      <c r="C14" s="33">
        <v>62.59</v>
      </c>
      <c r="D14" s="37">
        <f t="shared" si="1"/>
        <v>0</v>
      </c>
      <c r="F14" s="34">
        <v>45521.63</v>
      </c>
      <c r="G14" s="35">
        <f t="shared" si="0"/>
        <v>1.3815187129284201E-2</v>
      </c>
      <c r="N14" t="s">
        <v>47</v>
      </c>
      <c r="O14">
        <v>2.9384887256765444E-2</v>
      </c>
    </row>
    <row r="15" spans="2:16" ht="15" thickBot="1" x14ac:dyDescent="0.4">
      <c r="B15" s="24">
        <v>44283</v>
      </c>
      <c r="C15" s="33">
        <v>62.55</v>
      </c>
      <c r="D15" s="37">
        <f t="shared" si="1"/>
        <v>-6.3907972519583467E-4</v>
      </c>
      <c r="F15" s="34">
        <v>44300.95</v>
      </c>
      <c r="G15" s="35">
        <f t="shared" si="0"/>
        <v>-2.6815384247005247E-2</v>
      </c>
      <c r="N15" s="27" t="s">
        <v>48</v>
      </c>
      <c r="O15" s="27">
        <v>259</v>
      </c>
    </row>
    <row r="16" spans="2:16" x14ac:dyDescent="0.35">
      <c r="B16" s="24">
        <v>44290</v>
      </c>
      <c r="C16" s="33">
        <v>62.25</v>
      </c>
      <c r="D16" s="37">
        <f t="shared" si="1"/>
        <v>-4.7961630695443347E-3</v>
      </c>
      <c r="F16" s="34">
        <v>45186.48</v>
      </c>
      <c r="G16" s="35">
        <f t="shared" si="0"/>
        <v>1.9988961861991728E-2</v>
      </c>
    </row>
    <row r="17" spans="2:22" ht="15" thickBot="1" x14ac:dyDescent="0.4">
      <c r="B17" s="24">
        <v>44297</v>
      </c>
      <c r="C17" s="33">
        <v>63.85</v>
      </c>
      <c r="D17" s="37">
        <f t="shared" si="1"/>
        <v>2.5702811244979973E-2</v>
      </c>
      <c r="F17" s="34">
        <v>45305.63</v>
      </c>
      <c r="G17" s="35">
        <f t="shared" si="0"/>
        <v>2.6368506686069715E-3</v>
      </c>
      <c r="N17" t="s">
        <v>49</v>
      </c>
    </row>
    <row r="18" spans="2:22" x14ac:dyDescent="0.35">
      <c r="B18" s="24">
        <v>44304</v>
      </c>
      <c r="C18" s="33">
        <v>66</v>
      </c>
      <c r="D18" s="37">
        <f t="shared" si="1"/>
        <v>3.3672670321065024E-2</v>
      </c>
      <c r="F18" s="34">
        <v>44706.76</v>
      </c>
      <c r="G18" s="35">
        <f t="shared" si="0"/>
        <v>-1.3218445477968133E-2</v>
      </c>
      <c r="N18" s="28"/>
      <c r="O18" s="28" t="s">
        <v>54</v>
      </c>
      <c r="P18" s="28" t="s">
        <v>55</v>
      </c>
      <c r="Q18" s="28" t="s">
        <v>56</v>
      </c>
      <c r="R18" s="28" t="s">
        <v>57</v>
      </c>
      <c r="S18" s="28" t="s">
        <v>58</v>
      </c>
    </row>
    <row r="19" spans="2:22" x14ac:dyDescent="0.35">
      <c r="B19" s="24">
        <v>44311</v>
      </c>
      <c r="C19" s="33">
        <v>67</v>
      </c>
      <c r="D19" s="37">
        <f t="shared" si="1"/>
        <v>1.5151515151515138E-2</v>
      </c>
      <c r="F19" s="34">
        <v>44262.35</v>
      </c>
      <c r="G19" s="35">
        <f t="shared" si="0"/>
        <v>-9.9405548512127018E-3</v>
      </c>
      <c r="N19" t="s">
        <v>50</v>
      </c>
      <c r="O19">
        <v>1</v>
      </c>
      <c r="P19">
        <v>0.10483021909847837</v>
      </c>
      <c r="Q19">
        <v>0.10483021909847837</v>
      </c>
      <c r="R19">
        <v>121.40552070110412</v>
      </c>
      <c r="S19">
        <v>2.2325559822397371E-23</v>
      </c>
    </row>
    <row r="20" spans="2:22" x14ac:dyDescent="0.35">
      <c r="B20" s="24">
        <v>44318</v>
      </c>
      <c r="C20" s="33">
        <v>67.900000000000006</v>
      </c>
      <c r="D20" s="37">
        <f t="shared" si="1"/>
        <v>1.3432835820895717E-2</v>
      </c>
      <c r="F20" s="34">
        <v>45174.67</v>
      </c>
      <c r="G20" s="35">
        <f t="shared" si="0"/>
        <v>2.0611648500362012E-2</v>
      </c>
      <c r="N20" t="s">
        <v>51</v>
      </c>
      <c r="O20">
        <v>257</v>
      </c>
      <c r="P20">
        <v>0.22191220096685374</v>
      </c>
      <c r="Q20">
        <v>8.6347159909281614E-4</v>
      </c>
    </row>
    <row r="21" spans="2:22" ht="15" thickBot="1" x14ac:dyDescent="0.4">
      <c r="B21" s="24">
        <v>44332</v>
      </c>
      <c r="C21" s="33">
        <v>68.3</v>
      </c>
      <c r="D21" s="37">
        <f t="shared" si="1"/>
        <v>5.8910162002945299E-3</v>
      </c>
      <c r="F21" s="34">
        <v>45914.98</v>
      </c>
      <c r="G21" s="35">
        <f t="shared" si="0"/>
        <v>1.6387723474239113E-2</v>
      </c>
      <c r="N21" s="27" t="s">
        <v>52</v>
      </c>
      <c r="O21" s="27">
        <v>258</v>
      </c>
      <c r="P21" s="27">
        <v>0.32674242006533211</v>
      </c>
      <c r="Q21" s="27"/>
      <c r="R21" s="27"/>
      <c r="S21" s="27"/>
    </row>
    <row r="22" spans="2:22" ht="15" thickBot="1" x14ac:dyDescent="0.4">
      <c r="B22" s="24">
        <v>44339</v>
      </c>
      <c r="C22" s="33">
        <v>70.88</v>
      </c>
      <c r="D22" s="37">
        <f t="shared" si="1"/>
        <v>3.7774524158125988E-2</v>
      </c>
      <c r="F22" s="34">
        <v>47126.29</v>
      </c>
      <c r="G22" s="35">
        <f t="shared" si="0"/>
        <v>2.6381586140296731E-2</v>
      </c>
    </row>
    <row r="23" spans="2:22" x14ac:dyDescent="0.35">
      <c r="B23" s="24">
        <v>44346</v>
      </c>
      <c r="C23" s="33">
        <v>72.02</v>
      </c>
      <c r="D23" s="37">
        <f t="shared" si="1"/>
        <v>1.608352144469527E-2</v>
      </c>
      <c r="F23" s="34">
        <v>48211.7</v>
      </c>
      <c r="G23" s="35">
        <f t="shared" si="0"/>
        <v>2.3031942467781619E-2</v>
      </c>
      <c r="N23" s="28"/>
      <c r="O23" s="28" t="s">
        <v>59</v>
      </c>
      <c r="P23" s="28" t="s">
        <v>47</v>
      </c>
      <c r="Q23" s="28" t="s">
        <v>60</v>
      </c>
      <c r="R23" s="28" t="s">
        <v>61</v>
      </c>
      <c r="S23" s="28" t="s">
        <v>62</v>
      </c>
      <c r="T23" s="28" t="s">
        <v>63</v>
      </c>
      <c r="U23" s="28" t="s">
        <v>64</v>
      </c>
      <c r="V23" s="28" t="s">
        <v>65</v>
      </c>
    </row>
    <row r="24" spans="2:22" x14ac:dyDescent="0.35">
      <c r="B24" s="24">
        <v>44353</v>
      </c>
      <c r="C24" s="33">
        <v>72.099999999999994</v>
      </c>
      <c r="D24" s="37">
        <f t="shared" si="1"/>
        <v>1.1108025548458578E-3</v>
      </c>
      <c r="F24" s="34">
        <v>48304.72</v>
      </c>
      <c r="G24" s="35">
        <f t="shared" si="0"/>
        <v>1.9294071770961096E-3</v>
      </c>
      <c r="N24" t="s">
        <v>53</v>
      </c>
      <c r="O24">
        <v>1.1645789642298647E-3</v>
      </c>
      <c r="P24">
        <v>1.8727708403687526E-3</v>
      </c>
      <c r="Q24">
        <v>0.62184808687033832</v>
      </c>
      <c r="R24">
        <v>0.53459301100987733</v>
      </c>
      <c r="S24">
        <v>-2.5233515964773398E-3</v>
      </c>
      <c r="T24">
        <v>4.8525095249370691E-3</v>
      </c>
      <c r="U24">
        <v>-2.5233515964773398E-3</v>
      </c>
      <c r="V24">
        <v>4.8525095249370691E-3</v>
      </c>
    </row>
    <row r="25" spans="2:22" ht="15" thickBot="1" x14ac:dyDescent="0.4">
      <c r="B25" s="24">
        <v>44360</v>
      </c>
      <c r="C25" s="33">
        <v>69.599999999999994</v>
      </c>
      <c r="D25" s="37">
        <f t="shared" si="1"/>
        <v>-3.4674063800277377E-2</v>
      </c>
      <c r="F25" s="34">
        <v>48238.67</v>
      </c>
      <c r="G25" s="35">
        <f t="shared" si="0"/>
        <v>-1.3673612019695636E-3</v>
      </c>
      <c r="N25" s="27" t="s">
        <v>66</v>
      </c>
      <c r="O25" s="36">
        <v>0.82095711068096788</v>
      </c>
      <c r="P25" s="27">
        <v>7.450771606044887E-2</v>
      </c>
      <c r="Q25" s="27">
        <v>11.018417341029712</v>
      </c>
      <c r="R25" s="27">
        <v>2.232555982239641E-23</v>
      </c>
      <c r="S25" s="27">
        <v>0.67423372245599977</v>
      </c>
      <c r="T25" s="27">
        <v>0.96768049890593599</v>
      </c>
      <c r="U25" s="27">
        <v>0.67423372245599977</v>
      </c>
      <c r="V25" s="27">
        <v>0.96768049890593599</v>
      </c>
    </row>
    <row r="26" spans="2:22" x14ac:dyDescent="0.35">
      <c r="B26" s="24">
        <v>44367</v>
      </c>
      <c r="C26" s="33">
        <v>70.5</v>
      </c>
      <c r="D26" s="37">
        <f t="shared" si="1"/>
        <v>1.2931034482758674E-2</v>
      </c>
      <c r="F26" s="34">
        <v>47703.94</v>
      </c>
      <c r="G26" s="35">
        <f t="shared" si="0"/>
        <v>-1.1085090032540212E-2</v>
      </c>
    </row>
    <row r="27" spans="2:22" x14ac:dyDescent="0.35">
      <c r="B27" s="24">
        <v>44374</v>
      </c>
      <c r="C27" s="33">
        <v>70.86</v>
      </c>
      <c r="D27" s="37">
        <f t="shared" si="1"/>
        <v>5.106382978723456E-3</v>
      </c>
      <c r="F27" s="34">
        <v>47686.18</v>
      </c>
      <c r="G27" s="35">
        <f t="shared" si="0"/>
        <v>-3.7229629250756791E-4</v>
      </c>
    </row>
    <row r="28" spans="2:22" ht="15" thickBot="1" x14ac:dyDescent="0.4">
      <c r="B28" s="24">
        <v>44381</v>
      </c>
      <c r="C28" s="33">
        <v>73</v>
      </c>
      <c r="D28" s="37">
        <f t="shared" si="1"/>
        <v>3.0200395145357106E-2</v>
      </c>
      <c r="F28" s="34">
        <v>47563.45</v>
      </c>
      <c r="G28" s="35">
        <f t="shared" si="0"/>
        <v>-2.5737016468923013E-3</v>
      </c>
      <c r="N28" s="55" t="s">
        <v>75</v>
      </c>
      <c r="O28" s="55"/>
      <c r="P28" s="55"/>
    </row>
    <row r="29" spans="2:22" x14ac:dyDescent="0.35">
      <c r="B29" s="24">
        <v>44388</v>
      </c>
      <c r="C29" s="33">
        <v>71.900000000000006</v>
      </c>
      <c r="D29" s="37">
        <f t="shared" si="1"/>
        <v>-1.5068493150684814E-2</v>
      </c>
      <c r="F29" s="34">
        <v>47834.33</v>
      </c>
      <c r="G29" s="35">
        <f t="shared" si="0"/>
        <v>5.6951293482707666E-3</v>
      </c>
    </row>
    <row r="30" spans="2:22" x14ac:dyDescent="0.35">
      <c r="B30" s="24">
        <v>44395</v>
      </c>
      <c r="C30" s="33">
        <v>72.37</v>
      </c>
      <c r="D30" s="37">
        <f t="shared" si="1"/>
        <v>6.5368567454797688E-3</v>
      </c>
      <c r="F30" s="34">
        <v>47793.07</v>
      </c>
      <c r="G30" s="35">
        <f t="shared" si="0"/>
        <v>-8.6256042469923244E-4</v>
      </c>
      <c r="N30" t="s">
        <v>83</v>
      </c>
      <c r="P30" s="40">
        <v>33271430</v>
      </c>
    </row>
    <row r="31" spans="2:22" x14ac:dyDescent="0.35">
      <c r="B31" s="24">
        <v>44402</v>
      </c>
      <c r="C31" s="33">
        <v>76.099999999999994</v>
      </c>
      <c r="D31" s="37">
        <f t="shared" si="1"/>
        <v>5.154069365759284E-2</v>
      </c>
      <c r="F31" s="34">
        <v>47055.29</v>
      </c>
      <c r="G31" s="35">
        <f t="shared" si="0"/>
        <v>-1.5436966070603964E-2</v>
      </c>
      <c r="N31" t="s">
        <v>85</v>
      </c>
      <c r="P31" s="40">
        <v>28100170</v>
      </c>
    </row>
    <row r="32" spans="2:22" ht="15" thickBot="1" x14ac:dyDescent="0.4">
      <c r="B32" s="24">
        <v>44409</v>
      </c>
      <c r="C32" s="33">
        <v>77.38</v>
      </c>
      <c r="D32" s="37">
        <f t="shared" si="1"/>
        <v>1.681997371879107E-2</v>
      </c>
      <c r="F32" s="34">
        <v>47489.95</v>
      </c>
      <c r="G32" s="35">
        <f t="shared" si="0"/>
        <v>9.2372185996514311E-3</v>
      </c>
      <c r="N32" s="27" t="s">
        <v>84</v>
      </c>
      <c r="O32" s="27"/>
      <c r="P32" s="57">
        <v>11834330</v>
      </c>
    </row>
    <row r="33" spans="2:16" ht="15" thickBot="1" x14ac:dyDescent="0.4">
      <c r="B33" s="24">
        <v>44416</v>
      </c>
      <c r="C33" s="33">
        <v>76.180000000000007</v>
      </c>
      <c r="D33" s="37">
        <f t="shared" si="1"/>
        <v>-1.5507883173946579E-2</v>
      </c>
      <c r="F33" s="34">
        <v>47169.84</v>
      </c>
      <c r="G33" s="35">
        <f t="shared" si="0"/>
        <v>-6.7405840604169986E-3</v>
      </c>
      <c r="P33" s="58">
        <f>SUM(P30:P32)</f>
        <v>73205930</v>
      </c>
    </row>
    <row r="34" spans="2:16" ht="15" thickTop="1" x14ac:dyDescent="0.35">
      <c r="B34" s="24">
        <v>44423</v>
      </c>
      <c r="C34" s="33">
        <v>77.41</v>
      </c>
      <c r="D34" s="37">
        <f t="shared" si="1"/>
        <v>1.6145970070884585E-2</v>
      </c>
      <c r="F34" s="34">
        <v>47599.82</v>
      </c>
      <c r="G34" s="35">
        <f t="shared" si="0"/>
        <v>9.1155704577332575E-3</v>
      </c>
    </row>
    <row r="35" spans="2:16" x14ac:dyDescent="0.35">
      <c r="B35" s="24">
        <v>44430</v>
      </c>
      <c r="C35" s="33">
        <v>77.099999999999994</v>
      </c>
      <c r="D35" s="37">
        <f t="shared" si="1"/>
        <v>-4.0046505619428796E-3</v>
      </c>
      <c r="F35" s="34">
        <v>47136.53</v>
      </c>
      <c r="G35" s="35">
        <f t="shared" si="0"/>
        <v>-9.7330199988151511E-3</v>
      </c>
    </row>
    <row r="36" spans="2:16" x14ac:dyDescent="0.35">
      <c r="B36" s="24">
        <v>44437</v>
      </c>
      <c r="C36" s="33">
        <v>77.099999999999994</v>
      </c>
      <c r="D36" s="37">
        <f t="shared" si="1"/>
        <v>0</v>
      </c>
      <c r="F36" s="34">
        <v>46957.47</v>
      </c>
      <c r="G36" s="35">
        <f t="shared" si="0"/>
        <v>-3.7987522628415427E-3</v>
      </c>
    </row>
    <row r="37" spans="2:16" x14ac:dyDescent="0.35">
      <c r="B37" s="24">
        <v>44444</v>
      </c>
      <c r="C37" s="33">
        <v>74.010000000000005</v>
      </c>
      <c r="D37" s="37">
        <f t="shared" si="1"/>
        <v>-4.0077821011673009E-2</v>
      </c>
      <c r="F37" s="34">
        <v>47198.29</v>
      </c>
      <c r="G37" s="35">
        <f t="shared" si="0"/>
        <v>5.1284705074612358E-3</v>
      </c>
    </row>
    <row r="38" spans="2:16" x14ac:dyDescent="0.35">
      <c r="B38" s="24">
        <v>44451</v>
      </c>
      <c r="C38" s="33">
        <v>72.900000000000006</v>
      </c>
      <c r="D38" s="37">
        <f t="shared" si="1"/>
        <v>-1.4997973246858476E-2</v>
      </c>
      <c r="F38" s="34">
        <v>46636.08</v>
      </c>
      <c r="G38" s="35">
        <f t="shared" si="0"/>
        <v>-1.1911660358881582E-2</v>
      </c>
    </row>
    <row r="39" spans="2:16" x14ac:dyDescent="0.35">
      <c r="B39" s="24">
        <v>44458</v>
      </c>
      <c r="C39" s="33">
        <v>71.989999999999995</v>
      </c>
      <c r="D39" s="37">
        <f t="shared" si="1"/>
        <v>-1.2482853223594104E-2</v>
      </c>
      <c r="F39" s="34">
        <v>45073.52</v>
      </c>
      <c r="G39" s="35">
        <f t="shared" si="0"/>
        <v>-3.3505388960650362E-2</v>
      </c>
    </row>
    <row r="40" spans="2:16" x14ac:dyDescent="0.35">
      <c r="B40" s="24">
        <v>44465</v>
      </c>
      <c r="C40" s="33">
        <v>70.05</v>
      </c>
      <c r="D40" s="37">
        <f t="shared" si="1"/>
        <v>-2.6948187248228894E-2</v>
      </c>
      <c r="F40" s="34">
        <v>44871.7</v>
      </c>
      <c r="G40" s="35">
        <f t="shared" si="0"/>
        <v>-4.4775735287592155E-3</v>
      </c>
    </row>
    <row r="41" spans="2:16" x14ac:dyDescent="0.35">
      <c r="B41" s="24">
        <v>44472</v>
      </c>
      <c r="C41" s="33">
        <v>70.739999999999995</v>
      </c>
      <c r="D41" s="37">
        <f t="shared" si="1"/>
        <v>9.8501070663812307E-3</v>
      </c>
      <c r="F41" s="34">
        <v>44477.23</v>
      </c>
      <c r="G41" s="35">
        <f t="shared" si="0"/>
        <v>-8.7910643011072098E-3</v>
      </c>
    </row>
    <row r="42" spans="2:16" x14ac:dyDescent="0.35">
      <c r="B42" s="24">
        <v>44479</v>
      </c>
      <c r="C42" s="33">
        <v>71.88</v>
      </c>
      <c r="D42" s="37">
        <f t="shared" si="1"/>
        <v>1.6115351993214677E-2</v>
      </c>
      <c r="F42" s="34">
        <v>44821.53</v>
      </c>
      <c r="G42" s="35">
        <f t="shared" si="0"/>
        <v>7.7410396285919614E-3</v>
      </c>
    </row>
    <row r="43" spans="2:16" x14ac:dyDescent="0.35">
      <c r="B43" s="24">
        <v>44486</v>
      </c>
      <c r="C43" s="33">
        <v>73.84</v>
      </c>
      <c r="D43" s="37">
        <f t="shared" si="1"/>
        <v>2.7267668336115936E-2</v>
      </c>
      <c r="F43" s="34">
        <v>45578.36</v>
      </c>
      <c r="G43" s="35">
        <f t="shared" si="0"/>
        <v>1.6885411988390331E-2</v>
      </c>
    </row>
    <row r="44" spans="2:16" x14ac:dyDescent="0.35">
      <c r="B44" s="24">
        <v>44493</v>
      </c>
      <c r="C44" s="33">
        <v>71.5</v>
      </c>
      <c r="D44" s="37">
        <f t="shared" si="1"/>
        <v>-3.1690140845070491E-2</v>
      </c>
      <c r="F44" s="34">
        <v>46218.93</v>
      </c>
      <c r="G44" s="35">
        <f t="shared" si="0"/>
        <v>1.4054257327380748E-2</v>
      </c>
    </row>
    <row r="45" spans="2:16" x14ac:dyDescent="0.35">
      <c r="B45" s="24">
        <v>44500</v>
      </c>
      <c r="C45" s="33">
        <v>74.59</v>
      </c>
      <c r="D45" s="37">
        <f t="shared" si="1"/>
        <v>4.321678321678335E-2</v>
      </c>
      <c r="F45" s="34">
        <v>47295.8</v>
      </c>
      <c r="G45" s="35">
        <f t="shared" si="0"/>
        <v>2.3299327786255652E-2</v>
      </c>
    </row>
    <row r="46" spans="2:16" x14ac:dyDescent="0.35">
      <c r="B46" s="24">
        <v>44507</v>
      </c>
      <c r="C46" s="33">
        <v>75.78</v>
      </c>
      <c r="D46" s="37">
        <f t="shared" si="1"/>
        <v>1.595388121732122E-2</v>
      </c>
      <c r="F46" s="34">
        <v>45749.15</v>
      </c>
      <c r="G46" s="35">
        <f t="shared" si="0"/>
        <v>-3.2701635240338534E-2</v>
      </c>
    </row>
    <row r="47" spans="2:16" x14ac:dyDescent="0.35">
      <c r="B47" s="24">
        <v>44514</v>
      </c>
      <c r="C47" s="33">
        <v>76.319999999999993</v>
      </c>
      <c r="D47" s="37">
        <f t="shared" si="1"/>
        <v>7.1258907363418444E-3</v>
      </c>
      <c r="F47" s="34">
        <v>46489.41</v>
      </c>
      <c r="G47" s="35">
        <f t="shared" si="0"/>
        <v>1.6180847075847327E-2</v>
      </c>
    </row>
    <row r="48" spans="2:16" x14ac:dyDescent="0.35">
      <c r="B48" s="24">
        <v>44521</v>
      </c>
      <c r="C48" s="33">
        <v>73.849999999999994</v>
      </c>
      <c r="D48" s="37">
        <f t="shared" si="1"/>
        <v>-3.2363731656184447E-2</v>
      </c>
      <c r="F48" s="34">
        <v>44114.16</v>
      </c>
      <c r="G48" s="35">
        <f t="shared" si="0"/>
        <v>-5.109228101625729E-2</v>
      </c>
    </row>
    <row r="49" spans="2:7" x14ac:dyDescent="0.35">
      <c r="B49" s="24">
        <v>44528</v>
      </c>
      <c r="C49" s="33">
        <v>73.150000000000006</v>
      </c>
      <c r="D49" s="37">
        <f t="shared" si="1"/>
        <v>-9.4786729857818663E-3</v>
      </c>
      <c r="F49" s="34">
        <v>43232.83</v>
      </c>
      <c r="G49" s="35">
        <f t="shared" si="0"/>
        <v>-1.9978392425470726E-2</v>
      </c>
    </row>
    <row r="50" spans="2:7" x14ac:dyDescent="0.35">
      <c r="B50" s="24">
        <v>44535</v>
      </c>
      <c r="C50" s="33">
        <v>74.260000000000005</v>
      </c>
      <c r="D50" s="37">
        <f t="shared" si="1"/>
        <v>1.5174299384825618E-2</v>
      </c>
      <c r="F50" s="34">
        <v>43395.78</v>
      </c>
      <c r="G50" s="35">
        <f t="shared" si="0"/>
        <v>3.769126379189025E-3</v>
      </c>
    </row>
    <row r="51" spans="2:7" x14ac:dyDescent="0.35">
      <c r="B51" s="24">
        <v>44542</v>
      </c>
      <c r="C51" s="33">
        <v>75.25</v>
      </c>
      <c r="D51" s="37">
        <f t="shared" si="1"/>
        <v>1.333153784002139E-2</v>
      </c>
      <c r="F51" s="34">
        <v>43900.68</v>
      </c>
      <c r="G51" s="35">
        <f t="shared" si="0"/>
        <v>1.1634771860305371E-2</v>
      </c>
    </row>
    <row r="52" spans="2:7" x14ac:dyDescent="0.35">
      <c r="B52" s="24">
        <v>44549</v>
      </c>
      <c r="C52" s="33">
        <v>75.3</v>
      </c>
      <c r="D52" s="37">
        <f t="shared" si="1"/>
        <v>6.6445182724250706E-4</v>
      </c>
      <c r="F52" s="34">
        <v>44118.39</v>
      </c>
      <c r="G52" s="35">
        <f t="shared" si="0"/>
        <v>4.9591486965576692E-3</v>
      </c>
    </row>
    <row r="53" spans="2:7" x14ac:dyDescent="0.35">
      <c r="B53" s="24">
        <v>44556</v>
      </c>
      <c r="C53" s="33">
        <v>76.09</v>
      </c>
      <c r="D53" s="37">
        <f t="shared" si="1"/>
        <v>1.049136786188587E-2</v>
      </c>
      <c r="F53" s="34">
        <v>44596.07</v>
      </c>
      <c r="G53" s="35">
        <f t="shared" si="0"/>
        <v>1.0827231002763282E-2</v>
      </c>
    </row>
    <row r="54" spans="2:7" x14ac:dyDescent="0.35">
      <c r="B54" s="24">
        <v>44563</v>
      </c>
      <c r="C54" s="33">
        <v>81.3</v>
      </c>
      <c r="D54" s="37">
        <f t="shared" si="1"/>
        <v>6.8471546852411524E-2</v>
      </c>
      <c r="F54" s="34">
        <v>45345.65</v>
      </c>
      <c r="G54" s="35">
        <f t="shared" si="0"/>
        <v>1.6808207539363851E-2</v>
      </c>
    </row>
    <row r="55" spans="2:7" x14ac:dyDescent="0.35">
      <c r="B55" s="24">
        <v>44570</v>
      </c>
      <c r="C55" s="33">
        <v>80.5</v>
      </c>
      <c r="D55" s="37">
        <f t="shared" si="1"/>
        <v>-9.8400984009839876E-3</v>
      </c>
      <c r="F55" s="34">
        <v>45763.45</v>
      </c>
      <c r="G55" s="35">
        <f t="shared" si="0"/>
        <v>9.2136731968777141E-3</v>
      </c>
    </row>
    <row r="56" spans="2:7" x14ac:dyDescent="0.35">
      <c r="B56" s="24">
        <v>44577</v>
      </c>
      <c r="C56" s="33">
        <v>79.14</v>
      </c>
      <c r="D56" s="37">
        <f t="shared" si="1"/>
        <v>-1.6894409937888155E-2</v>
      </c>
      <c r="F56" s="34">
        <v>45018.28</v>
      </c>
      <c r="G56" s="35">
        <f t="shared" si="0"/>
        <v>-1.6283081804365662E-2</v>
      </c>
    </row>
    <row r="57" spans="2:7" x14ac:dyDescent="0.35">
      <c r="B57" s="24">
        <v>44584</v>
      </c>
      <c r="C57" s="33">
        <v>81.12</v>
      </c>
      <c r="D57" s="37">
        <f t="shared" si="1"/>
        <v>2.5018953752843132E-2</v>
      </c>
      <c r="F57" s="34">
        <v>45077.91</v>
      </c>
      <c r="G57" s="35">
        <f t="shared" si="0"/>
        <v>1.3245730401074685E-3</v>
      </c>
    </row>
    <row r="58" spans="2:7" x14ac:dyDescent="0.35">
      <c r="B58" s="24">
        <v>44591</v>
      </c>
      <c r="C58" s="33">
        <v>84.09</v>
      </c>
      <c r="D58" s="37">
        <f t="shared" si="1"/>
        <v>3.6612426035502965E-2</v>
      </c>
      <c r="F58" s="34">
        <v>45909.65</v>
      </c>
      <c r="G58" s="35">
        <f t="shared" si="0"/>
        <v>1.8451165992389607E-2</v>
      </c>
    </row>
    <row r="59" spans="2:7" x14ac:dyDescent="0.35">
      <c r="B59" s="24">
        <v>44598</v>
      </c>
      <c r="C59" s="33">
        <v>83</v>
      </c>
      <c r="D59" s="37">
        <f t="shared" si="1"/>
        <v>-1.2962302295159933E-2</v>
      </c>
      <c r="F59" s="34">
        <v>46079.37</v>
      </c>
      <c r="G59" s="35">
        <f t="shared" si="0"/>
        <v>3.6968262663732432E-3</v>
      </c>
    </row>
    <row r="60" spans="2:7" x14ac:dyDescent="0.35">
      <c r="B60" s="24">
        <v>44605</v>
      </c>
      <c r="C60" s="33">
        <v>86.86</v>
      </c>
      <c r="D60" s="37">
        <f t="shared" si="1"/>
        <v>4.650602409638549E-2</v>
      </c>
      <c r="F60" s="34">
        <v>45675.87</v>
      </c>
      <c r="G60" s="35">
        <f t="shared" si="0"/>
        <v>-8.7566301362193011E-3</v>
      </c>
    </row>
    <row r="61" spans="2:7" x14ac:dyDescent="0.35">
      <c r="B61" s="24">
        <v>44612</v>
      </c>
      <c r="C61" s="33">
        <v>87.17</v>
      </c>
      <c r="D61" s="37">
        <f t="shared" si="1"/>
        <v>3.5689615473175618E-3</v>
      </c>
      <c r="F61" s="34">
        <v>43984.24</v>
      </c>
      <c r="G61" s="35">
        <f t="shared" si="0"/>
        <v>-3.7035528825176245E-2</v>
      </c>
    </row>
    <row r="62" spans="2:7" x14ac:dyDescent="0.35">
      <c r="B62" s="24">
        <v>44619</v>
      </c>
      <c r="C62" s="33">
        <v>89.7</v>
      </c>
      <c r="D62" s="37">
        <f t="shared" si="1"/>
        <v>2.9023746701847042E-2</v>
      </c>
      <c r="F62" s="34">
        <v>44551.35</v>
      </c>
      <c r="G62" s="35">
        <f t="shared" si="0"/>
        <v>1.2893481847134458E-2</v>
      </c>
    </row>
    <row r="63" spans="2:7" x14ac:dyDescent="0.35">
      <c r="B63" s="24">
        <v>44626</v>
      </c>
      <c r="C63" s="33">
        <v>89.6</v>
      </c>
      <c r="D63" s="37">
        <f t="shared" si="1"/>
        <v>-1.1148272017837968E-3</v>
      </c>
      <c r="F63" s="34">
        <v>43653.33</v>
      </c>
      <c r="G63" s="35">
        <f t="shared" si="0"/>
        <v>-2.0156964940456268E-2</v>
      </c>
    </row>
    <row r="64" spans="2:7" x14ac:dyDescent="0.35">
      <c r="B64" s="24">
        <v>44633</v>
      </c>
      <c r="C64" s="33">
        <v>88.6</v>
      </c>
      <c r="D64" s="37">
        <f t="shared" si="1"/>
        <v>-1.1160714285714302E-2</v>
      </c>
      <c r="F64" s="34">
        <v>43029.97</v>
      </c>
      <c r="G64" s="35">
        <f t="shared" si="0"/>
        <v>-1.4279781175914885E-2</v>
      </c>
    </row>
    <row r="65" spans="2:7" x14ac:dyDescent="0.35">
      <c r="B65" s="24">
        <v>44640</v>
      </c>
      <c r="C65" s="33">
        <v>90.99</v>
      </c>
      <c r="D65" s="37">
        <f t="shared" si="1"/>
        <v>2.697516930022581E-2</v>
      </c>
      <c r="F65" s="34">
        <v>43551.14</v>
      </c>
      <c r="G65" s="35">
        <f t="shared" si="0"/>
        <v>1.2111790921536691E-2</v>
      </c>
    </row>
    <row r="66" spans="2:7" x14ac:dyDescent="0.35">
      <c r="B66" s="24">
        <v>44647</v>
      </c>
      <c r="C66" s="33">
        <v>90.71</v>
      </c>
      <c r="D66" s="37">
        <f t="shared" si="1"/>
        <v>-3.0772612374986297E-3</v>
      </c>
      <c r="F66" s="34">
        <v>45152.11</v>
      </c>
      <c r="G66" s="35">
        <f t="shared" si="0"/>
        <v>3.6760690994541267E-2</v>
      </c>
    </row>
    <row r="67" spans="2:7" x14ac:dyDescent="0.35">
      <c r="B67" s="24">
        <v>44654</v>
      </c>
      <c r="C67" s="33">
        <v>92.5</v>
      </c>
      <c r="D67" s="37">
        <f t="shared" si="1"/>
        <v>1.9733215742476107E-2</v>
      </c>
      <c r="F67" s="34">
        <v>44444.58</v>
      </c>
      <c r="G67" s="35">
        <f t="shared" si="0"/>
        <v>-1.5669921073455884E-2</v>
      </c>
    </row>
    <row r="68" spans="2:7" x14ac:dyDescent="0.35">
      <c r="B68" s="24">
        <v>44661</v>
      </c>
      <c r="C68" s="33">
        <v>94.25</v>
      </c>
      <c r="D68" s="37">
        <f t="shared" si="1"/>
        <v>1.8918918918918948E-2</v>
      </c>
      <c r="F68" s="34">
        <v>46601.54</v>
      </c>
      <c r="G68" s="35">
        <f t="shared" si="0"/>
        <v>4.8531451979071383E-2</v>
      </c>
    </row>
    <row r="69" spans="2:7" x14ac:dyDescent="0.35">
      <c r="B69" s="24">
        <v>44668</v>
      </c>
      <c r="C69" s="33">
        <v>95.9</v>
      </c>
      <c r="D69" s="37">
        <f t="shared" si="1"/>
        <v>1.7506631299734732E-2</v>
      </c>
      <c r="F69" s="34">
        <v>45553.02</v>
      </c>
      <c r="G69" s="35">
        <f t="shared" si="0"/>
        <v>-2.2499685632706656E-2</v>
      </c>
    </row>
    <row r="70" spans="2:7" x14ac:dyDescent="0.35">
      <c r="B70" s="24">
        <v>44675</v>
      </c>
      <c r="C70" s="33">
        <v>95</v>
      </c>
      <c r="D70" s="37">
        <f t="shared" si="1"/>
        <v>-9.3847758081335719E-3</v>
      </c>
      <c r="F70" s="34">
        <v>45249.41</v>
      </c>
      <c r="G70" s="35">
        <f t="shared" si="0"/>
        <v>-6.6649807191706545E-3</v>
      </c>
    </row>
    <row r="71" spans="2:7" x14ac:dyDescent="0.35">
      <c r="B71" s="24">
        <v>44682</v>
      </c>
      <c r="C71" s="33">
        <v>94.13</v>
      </c>
      <c r="D71" s="37">
        <f t="shared" si="1"/>
        <v>-9.1578947368421426E-3</v>
      </c>
      <c r="F71" s="34">
        <v>44840.81</v>
      </c>
      <c r="G71" s="35">
        <f t="shared" si="0"/>
        <v>-9.0299519927443672E-3</v>
      </c>
    </row>
    <row r="72" spans="2:7" x14ac:dyDescent="0.35">
      <c r="B72" s="24">
        <v>44689</v>
      </c>
      <c r="C72" s="33">
        <v>89.9</v>
      </c>
      <c r="D72" s="37">
        <f t="shared" ref="D72:D135" si="2">C72/C71 -1</f>
        <v>-4.493785190693711E-2</v>
      </c>
      <c r="F72" s="34">
        <v>43486.46</v>
      </c>
      <c r="G72" s="35">
        <f t="shared" ref="G72:G135" si="3">F72/F71 -1</f>
        <v>-3.0203513272842319E-2</v>
      </c>
    </row>
    <row r="73" spans="2:7" x14ac:dyDescent="0.35">
      <c r="B73" s="24">
        <v>44696</v>
      </c>
      <c r="C73" s="33">
        <v>90.85</v>
      </c>
      <c r="D73" s="37">
        <f t="shared" si="2"/>
        <v>1.0567296996662812E-2</v>
      </c>
      <c r="F73" s="34">
        <v>43100.7</v>
      </c>
      <c r="G73" s="35">
        <f t="shared" si="3"/>
        <v>-8.8708071431889968E-3</v>
      </c>
    </row>
    <row r="74" spans="2:7" x14ac:dyDescent="0.35">
      <c r="B74" s="24">
        <v>44703</v>
      </c>
      <c r="C74" s="33">
        <v>87.09</v>
      </c>
      <c r="D74" s="37">
        <f t="shared" si="2"/>
        <v>-4.1386901485965799E-2</v>
      </c>
      <c r="F74" s="34">
        <v>42861.45</v>
      </c>
      <c r="G74" s="35">
        <f t="shared" si="3"/>
        <v>-5.550953928822544E-3</v>
      </c>
    </row>
    <row r="75" spans="2:7" x14ac:dyDescent="0.35">
      <c r="B75" s="24">
        <v>44710</v>
      </c>
      <c r="C75" s="33">
        <v>87.3</v>
      </c>
      <c r="D75" s="37">
        <f t="shared" si="2"/>
        <v>2.4112986565620886E-3</v>
      </c>
      <c r="F75" s="34">
        <v>41314.879999999997</v>
      </c>
      <c r="G75" s="35">
        <f t="shared" si="3"/>
        <v>-3.6083006991130762E-2</v>
      </c>
    </row>
    <row r="76" spans="2:7" x14ac:dyDescent="0.35">
      <c r="B76" s="24">
        <v>44717</v>
      </c>
      <c r="C76" s="33">
        <v>88.8</v>
      </c>
      <c r="D76" s="37">
        <f t="shared" si="2"/>
        <v>1.7182130584192379E-2</v>
      </c>
      <c r="F76" s="34">
        <v>42014.73</v>
      </c>
      <c r="G76" s="35">
        <f t="shared" si="3"/>
        <v>1.6939417468960549E-2</v>
      </c>
    </row>
    <row r="77" spans="2:7" x14ac:dyDescent="0.35">
      <c r="B77" s="24">
        <v>44724</v>
      </c>
      <c r="C77" s="33">
        <v>89.51</v>
      </c>
      <c r="D77" s="37">
        <f t="shared" si="2"/>
        <v>7.9954954954954971E-3</v>
      </c>
      <c r="F77" s="34">
        <v>42140.76</v>
      </c>
      <c r="G77" s="35">
        <f t="shared" si="3"/>
        <v>2.9996622613068791E-3</v>
      </c>
    </row>
    <row r="78" spans="2:7" x14ac:dyDescent="0.35">
      <c r="B78" s="24">
        <v>44731</v>
      </c>
      <c r="C78" s="33">
        <v>88.98</v>
      </c>
      <c r="D78" s="37">
        <f t="shared" si="2"/>
        <v>-5.9211261311585828E-3</v>
      </c>
      <c r="F78" s="34">
        <v>41051.79</v>
      </c>
      <c r="G78" s="35">
        <f t="shared" si="3"/>
        <v>-2.5841252032474005E-2</v>
      </c>
    </row>
    <row r="79" spans="2:7" x14ac:dyDescent="0.35">
      <c r="B79" s="24">
        <v>44738</v>
      </c>
      <c r="C79" s="33">
        <v>90.71</v>
      </c>
      <c r="D79" s="37">
        <f t="shared" si="2"/>
        <v>1.9442571364351346E-2</v>
      </c>
      <c r="F79" s="34">
        <v>41630.35</v>
      </c>
      <c r="G79" s="35">
        <f t="shared" si="3"/>
        <v>1.4093417120179197E-2</v>
      </c>
    </row>
    <row r="80" spans="2:7" x14ac:dyDescent="0.35">
      <c r="B80" s="24">
        <v>44745</v>
      </c>
      <c r="C80" s="33">
        <v>90</v>
      </c>
      <c r="D80" s="37">
        <f t="shared" si="2"/>
        <v>-7.8271414397529382E-3</v>
      </c>
      <c r="F80" s="34">
        <v>41344.01</v>
      </c>
      <c r="G80" s="35">
        <f t="shared" si="3"/>
        <v>-6.8781549998978564E-3</v>
      </c>
    </row>
    <row r="81" spans="2:7" x14ac:dyDescent="0.35">
      <c r="B81" s="24">
        <v>44752</v>
      </c>
      <c r="C81" s="33">
        <v>90.2</v>
      </c>
      <c r="D81" s="37">
        <f t="shared" si="2"/>
        <v>2.2222222222223476E-3</v>
      </c>
      <c r="F81" s="34">
        <v>42074.91</v>
      </c>
      <c r="G81" s="35">
        <f t="shared" si="3"/>
        <v>1.7678498046028945E-2</v>
      </c>
    </row>
    <row r="82" spans="2:7" x14ac:dyDescent="0.35">
      <c r="B82" s="24">
        <v>44759</v>
      </c>
      <c r="C82" s="33">
        <v>84.95</v>
      </c>
      <c r="D82" s="37">
        <f t="shared" si="2"/>
        <v>-5.8203991130820421E-2</v>
      </c>
      <c r="F82" s="34">
        <v>40077.300000000003</v>
      </c>
      <c r="G82" s="35">
        <f t="shared" si="3"/>
        <v>-4.7477463409903886E-2</v>
      </c>
    </row>
    <row r="83" spans="2:7" x14ac:dyDescent="0.35">
      <c r="B83" s="24">
        <v>44766</v>
      </c>
      <c r="C83" s="33">
        <v>79</v>
      </c>
      <c r="D83" s="37">
        <f t="shared" si="2"/>
        <v>-7.0041200706297824E-2</v>
      </c>
      <c r="F83" s="34">
        <v>40150.36</v>
      </c>
      <c r="G83" s="35">
        <f t="shared" si="3"/>
        <v>1.8229770967603809E-3</v>
      </c>
    </row>
    <row r="84" spans="2:7" x14ac:dyDescent="0.35">
      <c r="B84" s="24">
        <v>44773</v>
      </c>
      <c r="C84" s="33">
        <v>80.25</v>
      </c>
      <c r="D84" s="37">
        <f t="shared" si="2"/>
        <v>1.5822784810126667E-2</v>
      </c>
      <c r="F84" s="34">
        <v>42096.24</v>
      </c>
      <c r="G84" s="35">
        <f t="shared" si="3"/>
        <v>4.8464820738842729E-2</v>
      </c>
    </row>
    <row r="85" spans="2:7" x14ac:dyDescent="0.35">
      <c r="B85" s="24">
        <v>44780</v>
      </c>
      <c r="C85" s="33">
        <v>79.349999999999994</v>
      </c>
      <c r="D85" s="37">
        <f t="shared" si="2"/>
        <v>-1.1214953271028061E-2</v>
      </c>
      <c r="F85" s="34">
        <v>42857.57</v>
      </c>
      <c r="G85" s="35">
        <f t="shared" si="3"/>
        <v>1.8085463214766895E-2</v>
      </c>
    </row>
    <row r="86" spans="2:7" x14ac:dyDescent="0.35">
      <c r="B86" s="24">
        <v>44787</v>
      </c>
      <c r="C86" s="33">
        <v>80.03</v>
      </c>
      <c r="D86" s="37">
        <f t="shared" si="2"/>
        <v>8.5696282293636905E-3</v>
      </c>
      <c r="F86" s="34">
        <v>43270.65</v>
      </c>
      <c r="G86" s="35">
        <f t="shared" si="3"/>
        <v>9.6384372702418286E-3</v>
      </c>
    </row>
    <row r="87" spans="2:7" x14ac:dyDescent="0.35">
      <c r="B87" s="24">
        <v>44794</v>
      </c>
      <c r="C87" s="33">
        <v>80.5</v>
      </c>
      <c r="D87" s="37">
        <f t="shared" si="2"/>
        <v>5.8727977008621313E-3</v>
      </c>
      <c r="F87" s="34">
        <v>42591.51</v>
      </c>
      <c r="G87" s="35">
        <f t="shared" si="3"/>
        <v>-1.5695165198581496E-2</v>
      </c>
    </row>
    <row r="88" spans="2:7" x14ac:dyDescent="0.35">
      <c r="B88" s="24">
        <v>44801</v>
      </c>
      <c r="C88" s="33">
        <v>83.68</v>
      </c>
      <c r="D88" s="37">
        <f t="shared" si="2"/>
        <v>3.9503105590062093E-2</v>
      </c>
      <c r="F88" s="34">
        <v>42309.11</v>
      </c>
      <c r="G88" s="35">
        <f t="shared" si="3"/>
        <v>-6.6304293977837991E-3</v>
      </c>
    </row>
    <row r="89" spans="2:7" x14ac:dyDescent="0.35">
      <c r="B89" s="24">
        <v>44808</v>
      </c>
      <c r="C89" s="33">
        <v>81.09</v>
      </c>
      <c r="D89" s="37">
        <f t="shared" si="2"/>
        <v>-3.0951242829827974E-2</v>
      </c>
      <c r="F89" s="34">
        <v>41948.160000000003</v>
      </c>
      <c r="G89" s="35">
        <f t="shared" si="3"/>
        <v>-8.531259579792505E-3</v>
      </c>
    </row>
    <row r="90" spans="2:7" x14ac:dyDescent="0.35">
      <c r="B90" s="24">
        <v>44815</v>
      </c>
      <c r="C90" s="33">
        <v>81</v>
      </c>
      <c r="D90" s="37">
        <f t="shared" si="2"/>
        <v>-1.1098779134295356E-3</v>
      </c>
      <c r="F90" s="34">
        <v>41679.49</v>
      </c>
      <c r="G90" s="35">
        <f t="shared" si="3"/>
        <v>-6.4048101275480107E-3</v>
      </c>
    </row>
    <row r="91" spans="2:7" x14ac:dyDescent="0.35">
      <c r="B91" s="24">
        <v>44822</v>
      </c>
      <c r="C91" s="33">
        <v>77.94</v>
      </c>
      <c r="D91" s="37">
        <f t="shared" si="2"/>
        <v>-3.7777777777777799E-2</v>
      </c>
      <c r="F91" s="34">
        <v>40620.21</v>
      </c>
      <c r="G91" s="35">
        <f t="shared" si="3"/>
        <v>-2.5414898310895828E-2</v>
      </c>
    </row>
    <row r="92" spans="2:7" x14ac:dyDescent="0.35">
      <c r="B92" s="24">
        <v>44829</v>
      </c>
      <c r="C92" s="33">
        <v>78.02</v>
      </c>
      <c r="D92" s="37">
        <f t="shared" si="2"/>
        <v>1.0264305876315216E-3</v>
      </c>
      <c r="F92" s="34">
        <v>41128.67</v>
      </c>
      <c r="G92" s="35">
        <f t="shared" si="3"/>
        <v>1.2517414360979418E-2</v>
      </c>
    </row>
    <row r="93" spans="2:7" x14ac:dyDescent="0.35">
      <c r="B93" s="24">
        <v>44836</v>
      </c>
      <c r="C93" s="33">
        <v>81.96</v>
      </c>
      <c r="D93" s="37">
        <f t="shared" si="2"/>
        <v>5.049987182773652E-2</v>
      </c>
      <c r="F93" s="34">
        <v>42085.25</v>
      </c>
      <c r="G93" s="35">
        <f t="shared" si="3"/>
        <v>2.3258228384239077E-2</v>
      </c>
    </row>
    <row r="94" spans="2:7" x14ac:dyDescent="0.35">
      <c r="B94" s="24">
        <v>44843</v>
      </c>
      <c r="C94" s="33">
        <v>80.75</v>
      </c>
      <c r="D94" s="37">
        <f t="shared" si="2"/>
        <v>-1.4763299170326927E-2</v>
      </c>
      <c r="F94" s="34">
        <v>41948.5</v>
      </c>
      <c r="G94" s="35">
        <f t="shared" si="3"/>
        <v>-3.2493569599800765E-3</v>
      </c>
    </row>
    <row r="95" spans="2:7" x14ac:dyDescent="0.35">
      <c r="B95" s="24">
        <v>44850</v>
      </c>
      <c r="C95" s="33">
        <v>81.78</v>
      </c>
      <c r="D95" s="37">
        <f t="shared" si="2"/>
        <v>1.2755417956656467E-2</v>
      </c>
      <c r="F95" s="34">
        <v>42213.48</v>
      </c>
      <c r="G95" s="35">
        <f t="shared" si="3"/>
        <v>6.3167932107226488E-3</v>
      </c>
    </row>
    <row r="96" spans="2:7" x14ac:dyDescent="0.35">
      <c r="B96" s="24">
        <v>44857</v>
      </c>
      <c r="C96" s="33">
        <v>81.25</v>
      </c>
      <c r="D96" s="37">
        <f t="shared" si="2"/>
        <v>-6.4808021521154391E-3</v>
      </c>
      <c r="F96" s="34">
        <v>41140.33</v>
      </c>
      <c r="G96" s="35">
        <f t="shared" si="3"/>
        <v>-2.5421974212976539E-2</v>
      </c>
    </row>
    <row r="97" spans="2:7" x14ac:dyDescent="0.35">
      <c r="B97" s="24">
        <v>44864</v>
      </c>
      <c r="C97" s="33">
        <v>81.52</v>
      </c>
      <c r="D97" s="37">
        <f t="shared" si="2"/>
        <v>3.3230769230769841E-3</v>
      </c>
      <c r="F97" s="34">
        <v>41856.31</v>
      </c>
      <c r="G97" s="35">
        <f t="shared" si="3"/>
        <v>1.7403360643922783E-2</v>
      </c>
    </row>
    <row r="98" spans="2:7" x14ac:dyDescent="0.35">
      <c r="B98" s="24">
        <v>44871</v>
      </c>
      <c r="C98" s="33">
        <v>81.709999999999994</v>
      </c>
      <c r="D98" s="37">
        <f t="shared" si="2"/>
        <v>2.3307163886163718E-3</v>
      </c>
      <c r="F98" s="34">
        <v>43092.95</v>
      </c>
      <c r="G98" s="35">
        <f t="shared" si="3"/>
        <v>2.9544888213987264E-2</v>
      </c>
    </row>
    <row r="99" spans="2:7" x14ac:dyDescent="0.35">
      <c r="B99" s="24">
        <v>44878</v>
      </c>
      <c r="C99" s="33">
        <v>81.67</v>
      </c>
      <c r="D99" s="37">
        <f t="shared" si="2"/>
        <v>-4.8953616448410564E-4</v>
      </c>
      <c r="F99" s="34">
        <v>42730.239999999998</v>
      </c>
      <c r="G99" s="35">
        <f t="shared" si="3"/>
        <v>-8.4169220255285726E-3</v>
      </c>
    </row>
    <row r="100" spans="2:7" x14ac:dyDescent="0.35">
      <c r="B100" s="24">
        <v>44885</v>
      </c>
      <c r="C100" s="33">
        <v>81.8</v>
      </c>
      <c r="D100" s="37">
        <f t="shared" si="2"/>
        <v>1.5917717644178264E-3</v>
      </c>
      <c r="F100" s="34">
        <v>42936.73</v>
      </c>
      <c r="G100" s="35">
        <f t="shared" si="3"/>
        <v>4.8324090854627855E-3</v>
      </c>
    </row>
    <row r="101" spans="2:7" x14ac:dyDescent="0.35">
      <c r="B101" s="24">
        <v>44892</v>
      </c>
      <c r="C101" s="33">
        <v>81.22</v>
      </c>
      <c r="D101" s="37">
        <f t="shared" si="2"/>
        <v>-7.0904645476772554E-3</v>
      </c>
      <c r="F101" s="34">
        <v>42150.1</v>
      </c>
      <c r="G101" s="35">
        <f t="shared" si="3"/>
        <v>-1.8320677890468207E-2</v>
      </c>
    </row>
    <row r="102" spans="2:7" x14ac:dyDescent="0.35">
      <c r="B102" s="24">
        <v>44899</v>
      </c>
      <c r="C102" s="33">
        <v>81.48</v>
      </c>
      <c r="D102" s="37">
        <f t="shared" si="2"/>
        <v>3.2011819748831716E-3</v>
      </c>
      <c r="F102" s="34">
        <v>41698.28</v>
      </c>
      <c r="G102" s="35">
        <f t="shared" si="3"/>
        <v>-1.0719310274471483E-2</v>
      </c>
    </row>
    <row r="103" spans="2:7" x14ac:dyDescent="0.35">
      <c r="B103" s="24">
        <v>44906</v>
      </c>
      <c r="C103" s="33">
        <v>80.13</v>
      </c>
      <c r="D103" s="37">
        <f t="shared" si="2"/>
        <v>-1.6568483063328476E-2</v>
      </c>
      <c r="F103" s="34">
        <v>41301.480000000003</v>
      </c>
      <c r="G103" s="35">
        <f t="shared" si="3"/>
        <v>-9.5159800356272584E-3</v>
      </c>
    </row>
    <row r="104" spans="2:7" x14ac:dyDescent="0.35">
      <c r="B104" s="24">
        <v>44913</v>
      </c>
      <c r="C104" s="33">
        <v>78.03</v>
      </c>
      <c r="D104" s="37">
        <f t="shared" si="2"/>
        <v>-2.6207412953949794E-2</v>
      </c>
      <c r="F104" s="34">
        <v>39669.199999999997</v>
      </c>
      <c r="G104" s="35">
        <f t="shared" si="3"/>
        <v>-3.9521101907244116E-2</v>
      </c>
    </row>
    <row r="105" spans="2:7" x14ac:dyDescent="0.35">
      <c r="B105" s="24">
        <v>44920</v>
      </c>
      <c r="C105" s="33">
        <v>76.89</v>
      </c>
      <c r="D105" s="37">
        <f t="shared" si="2"/>
        <v>-1.4609765474817404E-2</v>
      </c>
      <c r="F105" s="34">
        <v>40420.449999999997</v>
      </c>
      <c r="G105" s="35">
        <f t="shared" si="3"/>
        <v>1.8937866153086125E-2</v>
      </c>
    </row>
    <row r="106" spans="2:7" x14ac:dyDescent="0.35">
      <c r="B106" s="24">
        <v>44927</v>
      </c>
      <c r="C106" s="33">
        <v>80.400000000000006</v>
      </c>
      <c r="D106" s="37">
        <f t="shared" si="2"/>
        <v>4.564962934061656E-2</v>
      </c>
      <c r="F106" s="34">
        <v>41007.519999999997</v>
      </c>
      <c r="G106" s="35">
        <f t="shared" si="3"/>
        <v>1.4524083724946069E-2</v>
      </c>
    </row>
    <row r="107" spans="2:7" x14ac:dyDescent="0.35">
      <c r="B107" s="24">
        <v>44934</v>
      </c>
      <c r="C107" s="33">
        <v>78.680000000000007</v>
      </c>
      <c r="D107" s="37">
        <f t="shared" si="2"/>
        <v>-2.1393034825870627E-2</v>
      </c>
      <c r="F107" s="34">
        <v>40323.449999999997</v>
      </c>
      <c r="G107" s="35">
        <f t="shared" si="3"/>
        <v>-1.6681574501457241E-2</v>
      </c>
    </row>
    <row r="108" spans="2:7" x14ac:dyDescent="0.35">
      <c r="B108" s="24">
        <v>44941</v>
      </c>
      <c r="C108" s="33">
        <v>76.64</v>
      </c>
      <c r="D108" s="37">
        <f t="shared" si="2"/>
        <v>-2.5927808845958356E-2</v>
      </c>
      <c r="F108" s="34">
        <v>38407.980000000003</v>
      </c>
      <c r="G108" s="35">
        <f t="shared" si="3"/>
        <v>-4.7502631843257315E-2</v>
      </c>
    </row>
    <row r="109" spans="2:7" x14ac:dyDescent="0.35">
      <c r="B109" s="24">
        <v>44948</v>
      </c>
      <c r="C109" s="33">
        <v>78.8</v>
      </c>
      <c r="D109" s="37">
        <f t="shared" si="2"/>
        <v>2.8183716075156573E-2</v>
      </c>
      <c r="F109" s="34">
        <v>40450.53</v>
      </c>
      <c r="G109" s="35">
        <f t="shared" si="3"/>
        <v>5.3180354707537125E-2</v>
      </c>
    </row>
    <row r="110" spans="2:7" x14ac:dyDescent="0.35">
      <c r="B110" s="24">
        <v>44955</v>
      </c>
      <c r="C110" s="33">
        <v>82</v>
      </c>
      <c r="D110" s="37">
        <f t="shared" si="2"/>
        <v>4.0609137055837685E-2</v>
      </c>
      <c r="F110" s="34">
        <v>40471.160000000003</v>
      </c>
      <c r="G110" s="35">
        <f t="shared" si="3"/>
        <v>5.1000567854120327E-4</v>
      </c>
    </row>
    <row r="111" spans="2:7" x14ac:dyDescent="0.35">
      <c r="B111" s="24">
        <v>44962</v>
      </c>
      <c r="C111" s="33">
        <v>84.89</v>
      </c>
      <c r="D111" s="37">
        <f t="shared" si="2"/>
        <v>3.5243902439024311E-2</v>
      </c>
      <c r="F111" s="34">
        <v>41741.78</v>
      </c>
      <c r="G111" s="35">
        <f t="shared" si="3"/>
        <v>3.1395690165539891E-2</v>
      </c>
    </row>
    <row r="112" spans="2:7" x14ac:dyDescent="0.35">
      <c r="B112" s="24">
        <v>44969</v>
      </c>
      <c r="C112" s="33">
        <v>86.5</v>
      </c>
      <c r="D112" s="37">
        <f t="shared" si="2"/>
        <v>1.896572034397459E-2</v>
      </c>
      <c r="F112" s="34">
        <v>41118.61</v>
      </c>
      <c r="G112" s="35">
        <f t="shared" si="3"/>
        <v>-1.4929166892259982E-2</v>
      </c>
    </row>
    <row r="113" spans="2:7" x14ac:dyDescent="0.35">
      <c r="B113" s="24">
        <v>44976</v>
      </c>
      <c r="C113" s="33">
        <v>85.49</v>
      </c>
      <c r="D113" s="37">
        <f t="shared" si="2"/>
        <v>-1.1676300578034704E-2</v>
      </c>
      <c r="F113" s="34">
        <v>40707.760000000002</v>
      </c>
      <c r="G113" s="35">
        <f t="shared" si="3"/>
        <v>-9.9918260855607066E-3</v>
      </c>
    </row>
    <row r="114" spans="2:7" x14ac:dyDescent="0.35">
      <c r="B114" s="24">
        <v>44983</v>
      </c>
      <c r="C114" s="33">
        <v>87.49</v>
      </c>
      <c r="D114" s="37">
        <f t="shared" si="2"/>
        <v>2.3394549070066661E-2</v>
      </c>
      <c r="F114" s="34">
        <v>41337</v>
      </c>
      <c r="G114" s="35">
        <f t="shared" si="3"/>
        <v>1.5457495082018768E-2</v>
      </c>
    </row>
    <row r="115" spans="2:7" x14ac:dyDescent="0.35">
      <c r="B115" s="24">
        <v>44990</v>
      </c>
      <c r="C115" s="33">
        <v>89.1</v>
      </c>
      <c r="D115" s="37">
        <f t="shared" si="2"/>
        <v>1.8402103097496791E-2</v>
      </c>
      <c r="F115" s="34">
        <v>41793.870000000003</v>
      </c>
      <c r="G115" s="35">
        <f t="shared" si="3"/>
        <v>1.1052326003338386E-2</v>
      </c>
    </row>
    <row r="116" spans="2:7" x14ac:dyDescent="0.35">
      <c r="B116" s="24">
        <v>44997</v>
      </c>
      <c r="C116" s="33">
        <v>89.8</v>
      </c>
      <c r="D116" s="37">
        <f t="shared" si="2"/>
        <v>7.8563411896745983E-3</v>
      </c>
      <c r="F116" s="34">
        <v>41329.949999999997</v>
      </c>
      <c r="G116" s="35">
        <f t="shared" si="3"/>
        <v>-1.1100192444490231E-2</v>
      </c>
    </row>
    <row r="117" spans="2:7" x14ac:dyDescent="0.35">
      <c r="B117" s="24">
        <v>45004</v>
      </c>
      <c r="C117" s="33">
        <v>80.599999999999994</v>
      </c>
      <c r="D117" s="37">
        <f t="shared" si="2"/>
        <v>-0.10244988864142546</v>
      </c>
      <c r="F117" s="34">
        <v>39942.050000000003</v>
      </c>
      <c r="G117" s="35">
        <f t="shared" si="3"/>
        <v>-3.3580974571708722E-2</v>
      </c>
    </row>
    <row r="118" spans="2:7" x14ac:dyDescent="0.35">
      <c r="B118" s="24">
        <v>45011</v>
      </c>
      <c r="C118" s="33">
        <v>84.85</v>
      </c>
      <c r="D118" s="37">
        <f t="shared" si="2"/>
        <v>5.2729528535980119E-2</v>
      </c>
      <c r="F118" s="34">
        <v>40000.83</v>
      </c>
      <c r="G118" s="35">
        <f t="shared" si="3"/>
        <v>1.471632026899039E-3</v>
      </c>
    </row>
    <row r="119" spans="2:7" x14ac:dyDescent="0.35">
      <c r="B119" s="24">
        <v>45018</v>
      </c>
      <c r="C119" s="33">
        <v>84.75</v>
      </c>
      <c r="D119" s="37">
        <f t="shared" si="2"/>
        <v>-1.1785503830288313E-3</v>
      </c>
      <c r="F119" s="34">
        <v>40049.65</v>
      </c>
      <c r="G119" s="35">
        <f t="shared" si="3"/>
        <v>1.220474675150518E-3</v>
      </c>
    </row>
    <row r="120" spans="2:7" x14ac:dyDescent="0.35">
      <c r="B120" s="24">
        <v>45025</v>
      </c>
      <c r="C120" s="33">
        <v>86.9</v>
      </c>
      <c r="D120" s="37">
        <f t="shared" si="2"/>
        <v>2.5368731563421898E-2</v>
      </c>
      <c r="F120" s="34">
        <v>40205.54</v>
      </c>
      <c r="G120" s="35">
        <f t="shared" si="3"/>
        <v>3.8924185354927143E-3</v>
      </c>
    </row>
    <row r="121" spans="2:7" x14ac:dyDescent="0.35">
      <c r="B121" s="24">
        <v>45032</v>
      </c>
      <c r="C121" s="33">
        <v>87.78</v>
      </c>
      <c r="D121" s="37">
        <f t="shared" si="2"/>
        <v>1.0126582278481067E-2</v>
      </c>
      <c r="F121" s="34">
        <v>41007.82</v>
      </c>
      <c r="G121" s="35">
        <f t="shared" si="3"/>
        <v>1.9954463986803672E-2</v>
      </c>
    </row>
    <row r="122" spans="2:7" x14ac:dyDescent="0.35">
      <c r="B122" s="24">
        <v>45039</v>
      </c>
      <c r="C122" s="33">
        <v>84.1</v>
      </c>
      <c r="D122" s="37">
        <f t="shared" si="2"/>
        <v>-4.1922989291410473E-2</v>
      </c>
      <c r="F122" s="34">
        <v>41580.85</v>
      </c>
      <c r="G122" s="35">
        <f t="shared" si="3"/>
        <v>1.397367624028778E-2</v>
      </c>
    </row>
    <row r="123" spans="2:7" x14ac:dyDescent="0.35">
      <c r="B123" s="24">
        <v>45046</v>
      </c>
      <c r="C123" s="33">
        <v>86.95</v>
      </c>
      <c r="D123" s="37">
        <f t="shared" si="2"/>
        <v>3.388822829964333E-2</v>
      </c>
      <c r="F123" s="34">
        <v>42241.98</v>
      </c>
      <c r="G123" s="35">
        <f t="shared" si="3"/>
        <v>1.5899867366828913E-2</v>
      </c>
    </row>
    <row r="124" spans="2:7" x14ac:dyDescent="0.35">
      <c r="B124" s="24">
        <v>45053</v>
      </c>
      <c r="C124" s="33">
        <v>85.25</v>
      </c>
      <c r="D124" s="37">
        <f t="shared" si="2"/>
        <v>-1.9551466359977066E-2</v>
      </c>
      <c r="F124" s="34">
        <v>41487.58</v>
      </c>
      <c r="G124" s="35">
        <f t="shared" si="3"/>
        <v>-1.7859011343691833E-2</v>
      </c>
    </row>
    <row r="125" spans="2:7" x14ac:dyDescent="0.35">
      <c r="B125" s="24">
        <v>45060</v>
      </c>
      <c r="C125" s="33">
        <v>85.5</v>
      </c>
      <c r="D125" s="37">
        <f t="shared" si="2"/>
        <v>2.9325513196480912E-3</v>
      </c>
      <c r="F125" s="34">
        <v>41614.870000000003</v>
      </c>
      <c r="G125" s="35">
        <f t="shared" si="3"/>
        <v>3.0681471418676498E-3</v>
      </c>
    </row>
    <row r="126" spans="2:7" x14ac:dyDescent="0.35">
      <c r="B126" s="24">
        <v>45067</v>
      </c>
      <c r="C126" s="33">
        <v>84</v>
      </c>
      <c r="D126" s="37">
        <f t="shared" si="2"/>
        <v>-1.7543859649122862E-2</v>
      </c>
      <c r="F126" s="34">
        <v>41002.6</v>
      </c>
      <c r="G126" s="35">
        <f t="shared" si="3"/>
        <v>-1.4712769738317144E-2</v>
      </c>
    </row>
    <row r="127" spans="2:7" x14ac:dyDescent="0.35">
      <c r="B127" s="24">
        <v>45074</v>
      </c>
      <c r="C127" s="33">
        <v>85.49</v>
      </c>
      <c r="D127" s="37">
        <f t="shared" si="2"/>
        <v>1.7738095238095219E-2</v>
      </c>
      <c r="F127" s="34">
        <v>41356.239999999998</v>
      </c>
      <c r="G127" s="35">
        <f t="shared" si="3"/>
        <v>8.6248189139224163E-3</v>
      </c>
    </row>
    <row r="128" spans="2:7" x14ac:dyDescent="0.35">
      <c r="B128" s="24">
        <v>45081</v>
      </c>
      <c r="C128" s="33">
        <v>86.32</v>
      </c>
      <c r="D128" s="37">
        <f t="shared" si="2"/>
        <v>9.7087378640776656E-3</v>
      </c>
      <c r="F128" s="34">
        <v>41904.86</v>
      </c>
      <c r="G128" s="35">
        <f t="shared" si="3"/>
        <v>1.3265712743711688E-2</v>
      </c>
    </row>
    <row r="129" spans="2:7" x14ac:dyDescent="0.35">
      <c r="B129" s="24">
        <v>45088</v>
      </c>
      <c r="C129" s="33">
        <v>82.69</v>
      </c>
      <c r="D129" s="37">
        <f t="shared" si="2"/>
        <v>-4.2052826691380885E-2</v>
      </c>
      <c r="F129" s="34">
        <v>41335.53</v>
      </c>
      <c r="G129" s="35">
        <f t="shared" si="3"/>
        <v>-1.3586252286727607E-2</v>
      </c>
    </row>
    <row r="130" spans="2:7" x14ac:dyDescent="0.35">
      <c r="B130" s="24">
        <v>45095</v>
      </c>
      <c r="C130" s="33">
        <v>80.099999999999994</v>
      </c>
      <c r="D130" s="37">
        <f t="shared" si="2"/>
        <v>-3.132180432942322E-2</v>
      </c>
      <c r="F130" s="34">
        <v>40090.36</v>
      </c>
      <c r="G130" s="35">
        <f t="shared" si="3"/>
        <v>-3.0123479727972469E-2</v>
      </c>
    </row>
    <row r="131" spans="2:7" x14ac:dyDescent="0.35">
      <c r="B131" s="24">
        <v>45102</v>
      </c>
      <c r="C131" s="33">
        <v>81.95</v>
      </c>
      <c r="D131" s="37">
        <f t="shared" si="2"/>
        <v>2.3096129837703039E-2</v>
      </c>
      <c r="F131" s="34">
        <v>41452.68</v>
      </c>
      <c r="G131" s="35">
        <f t="shared" si="3"/>
        <v>3.398123638700179E-2</v>
      </c>
    </row>
    <row r="132" spans="2:7" x14ac:dyDescent="0.35">
      <c r="B132" s="24">
        <v>45109</v>
      </c>
      <c r="C132" s="33">
        <v>82.99</v>
      </c>
      <c r="D132" s="37">
        <f t="shared" si="2"/>
        <v>1.2690665039658322E-2</v>
      </c>
      <c r="F132" s="34">
        <v>44284.92</v>
      </c>
      <c r="G132" s="35">
        <f t="shared" si="3"/>
        <v>6.8324653556778525E-2</v>
      </c>
    </row>
    <row r="133" spans="2:7" x14ac:dyDescent="0.35">
      <c r="B133" s="24">
        <v>45116</v>
      </c>
      <c r="C133" s="33">
        <v>82.95</v>
      </c>
      <c r="D133" s="37">
        <f t="shared" si="2"/>
        <v>-4.8198578141933623E-4</v>
      </c>
      <c r="F133" s="34">
        <v>45071.94</v>
      </c>
      <c r="G133" s="35">
        <f t="shared" si="3"/>
        <v>1.7771738099560785E-2</v>
      </c>
    </row>
    <row r="134" spans="2:7" x14ac:dyDescent="0.35">
      <c r="B134" s="24">
        <v>45123</v>
      </c>
      <c r="C134" s="33">
        <v>82.1</v>
      </c>
      <c r="D134" s="37">
        <f t="shared" si="2"/>
        <v>-1.024713682941536E-2</v>
      </c>
      <c r="F134" s="34">
        <v>45888.26</v>
      </c>
      <c r="G134" s="35">
        <f t="shared" si="3"/>
        <v>1.8111490208764014E-2</v>
      </c>
    </row>
    <row r="135" spans="2:7" x14ac:dyDescent="0.35">
      <c r="B135" s="24">
        <v>45130</v>
      </c>
      <c r="C135" s="33">
        <v>82.2</v>
      </c>
      <c r="D135" s="37">
        <f t="shared" si="2"/>
        <v>1.2180267965895553E-3</v>
      </c>
      <c r="F135" s="34">
        <v>47139.06</v>
      </c>
      <c r="G135" s="35">
        <f t="shared" si="3"/>
        <v>2.7257516410515326E-2</v>
      </c>
    </row>
    <row r="136" spans="2:7" x14ac:dyDescent="0.35">
      <c r="B136" s="24">
        <v>45137</v>
      </c>
      <c r="C136" s="33">
        <v>81.599999999999994</v>
      </c>
      <c r="D136" s="37">
        <f t="shared" ref="D136:D199" si="4">C136/C135 -1</f>
        <v>-7.2992700729928028E-3</v>
      </c>
      <c r="F136" s="34">
        <v>48585.71</v>
      </c>
      <c r="G136" s="35">
        <f t="shared" ref="G136:G199" si="5">F136/F135 -1</f>
        <v>3.0688987009923396E-2</v>
      </c>
    </row>
    <row r="137" spans="2:7" x14ac:dyDescent="0.35">
      <c r="B137" s="24">
        <v>45144</v>
      </c>
      <c r="C137" s="33">
        <v>79.599999999999994</v>
      </c>
      <c r="D137" s="37">
        <f t="shared" si="4"/>
        <v>-2.4509803921568651E-2</v>
      </c>
      <c r="F137" s="34">
        <v>48424.4</v>
      </c>
      <c r="G137" s="35">
        <f t="shared" si="5"/>
        <v>-3.3201120247084992E-3</v>
      </c>
    </row>
    <row r="138" spans="2:7" x14ac:dyDescent="0.35">
      <c r="B138" s="24">
        <v>45151</v>
      </c>
      <c r="C138" s="33">
        <v>79.94</v>
      </c>
      <c r="D138" s="37">
        <f t="shared" si="4"/>
        <v>4.2713567839196553E-3</v>
      </c>
      <c r="F138" s="34">
        <v>48218.49</v>
      </c>
      <c r="G138" s="35">
        <f t="shared" si="5"/>
        <v>-4.2521951743336173E-3</v>
      </c>
    </row>
    <row r="139" spans="2:7" x14ac:dyDescent="0.35">
      <c r="B139" s="24">
        <v>45158</v>
      </c>
      <c r="C139" s="33">
        <v>79.5</v>
      </c>
      <c r="D139" s="37">
        <f t="shared" si="4"/>
        <v>-5.5041280960720362E-3</v>
      </c>
      <c r="F139" s="34">
        <v>47671.21</v>
      </c>
      <c r="G139" s="35">
        <f t="shared" si="5"/>
        <v>-1.1350002872342113E-2</v>
      </c>
    </row>
    <row r="140" spans="2:7" x14ac:dyDescent="0.35">
      <c r="B140" s="24">
        <v>45165</v>
      </c>
      <c r="C140" s="33">
        <v>77</v>
      </c>
      <c r="D140" s="37">
        <f t="shared" si="4"/>
        <v>-3.1446540880503138E-2</v>
      </c>
      <c r="F140" s="34">
        <v>45312.65</v>
      </c>
      <c r="G140" s="35">
        <f t="shared" si="5"/>
        <v>-4.9475563972468883E-2</v>
      </c>
    </row>
    <row r="141" spans="2:7" x14ac:dyDescent="0.35">
      <c r="B141" s="24">
        <v>45172</v>
      </c>
      <c r="C141" s="33">
        <v>77.099999999999994</v>
      </c>
      <c r="D141" s="37">
        <f t="shared" si="4"/>
        <v>1.2987012987011326E-3</v>
      </c>
      <c r="F141" s="34">
        <v>46013.48</v>
      </c>
      <c r="G141" s="35">
        <f t="shared" si="5"/>
        <v>1.5466541903861319E-2</v>
      </c>
    </row>
    <row r="142" spans="2:7" x14ac:dyDescent="0.35">
      <c r="B142" s="24">
        <v>45179</v>
      </c>
      <c r="C142" s="33">
        <v>76.34</v>
      </c>
      <c r="D142" s="37">
        <f t="shared" si="4"/>
        <v>-9.8573281452657424E-3</v>
      </c>
      <c r="F142" s="34">
        <v>45753.51</v>
      </c>
      <c r="G142" s="35">
        <f t="shared" si="5"/>
        <v>-5.6498660827218883E-3</v>
      </c>
    </row>
    <row r="143" spans="2:7" x14ac:dyDescent="0.35">
      <c r="B143" s="24">
        <v>45186</v>
      </c>
      <c r="C143" s="33">
        <v>76.14</v>
      </c>
      <c r="D143" s="37">
        <f t="shared" si="4"/>
        <v>-2.6198585276395736E-3</v>
      </c>
      <c r="F143" s="34">
        <v>46436.41</v>
      </c>
      <c r="G143" s="35">
        <f t="shared" si="5"/>
        <v>1.4925630842311355E-2</v>
      </c>
    </row>
    <row r="144" spans="2:7" x14ac:dyDescent="0.35">
      <c r="B144" s="24">
        <v>45193</v>
      </c>
      <c r="C144" s="33">
        <v>76</v>
      </c>
      <c r="D144" s="37">
        <f t="shared" si="4"/>
        <v>-1.838718150774854E-3</v>
      </c>
      <c r="F144" s="34">
        <v>46232.59</v>
      </c>
      <c r="G144" s="35">
        <f t="shared" si="5"/>
        <v>-4.3892281939970079E-3</v>
      </c>
    </row>
    <row r="145" spans="2:7" x14ac:dyDescent="0.35">
      <c r="B145" s="24">
        <v>45200</v>
      </c>
      <c r="C145" s="33">
        <v>82.15</v>
      </c>
      <c r="D145" s="37">
        <f t="shared" si="4"/>
        <v>8.0921052631579116E-2</v>
      </c>
      <c r="F145" s="34">
        <v>47508.67</v>
      </c>
      <c r="G145" s="35">
        <f t="shared" si="5"/>
        <v>2.7601308946784142E-2</v>
      </c>
    </row>
    <row r="146" spans="2:7" x14ac:dyDescent="0.35">
      <c r="B146" s="24">
        <v>45207</v>
      </c>
      <c r="C146" s="33">
        <v>88.39</v>
      </c>
      <c r="D146" s="37">
        <f t="shared" si="4"/>
        <v>7.5958612294583006E-2</v>
      </c>
      <c r="F146" s="34">
        <v>49493.47</v>
      </c>
      <c r="G146" s="35">
        <f t="shared" si="5"/>
        <v>4.1777637639613951E-2</v>
      </c>
    </row>
    <row r="147" spans="2:7" x14ac:dyDescent="0.35">
      <c r="B147" s="24">
        <v>45214</v>
      </c>
      <c r="C147" s="33">
        <v>90.5</v>
      </c>
      <c r="D147" s="37">
        <f t="shared" si="4"/>
        <v>2.3871478674058144E-2</v>
      </c>
      <c r="F147" s="34">
        <v>50674.52</v>
      </c>
      <c r="G147" s="35">
        <f t="shared" si="5"/>
        <v>2.386274391348997E-2</v>
      </c>
    </row>
    <row r="148" spans="2:7" x14ac:dyDescent="0.35">
      <c r="B148" s="24">
        <v>45221</v>
      </c>
      <c r="C148" s="33">
        <v>86.3</v>
      </c>
      <c r="D148" s="37">
        <f t="shared" si="4"/>
        <v>-4.6408839779005562E-2</v>
      </c>
      <c r="F148" s="34">
        <v>50958.45</v>
      </c>
      <c r="G148" s="35">
        <f t="shared" si="5"/>
        <v>5.6030131119151338E-3</v>
      </c>
    </row>
    <row r="149" spans="2:7" x14ac:dyDescent="0.35">
      <c r="B149" s="24">
        <v>45228</v>
      </c>
      <c r="C149" s="33">
        <v>87.5</v>
      </c>
      <c r="D149" s="37">
        <f t="shared" si="4"/>
        <v>1.3904982618771822E-2</v>
      </c>
      <c r="F149" s="34">
        <v>53175.72</v>
      </c>
      <c r="G149" s="35">
        <f t="shared" si="5"/>
        <v>4.3511331290492672E-2</v>
      </c>
    </row>
    <row r="150" spans="2:7" x14ac:dyDescent="0.35">
      <c r="B150" s="24">
        <v>45235</v>
      </c>
      <c r="C150" s="33">
        <v>95.95</v>
      </c>
      <c r="D150" s="37">
        <f t="shared" si="4"/>
        <v>9.657142857142853E-2</v>
      </c>
      <c r="F150" s="34">
        <v>55399.66</v>
      </c>
      <c r="G150" s="35">
        <f t="shared" si="5"/>
        <v>4.1822470857000082E-2</v>
      </c>
    </row>
    <row r="151" spans="2:7" x14ac:dyDescent="0.35">
      <c r="B151" s="24">
        <v>45242</v>
      </c>
      <c r="C151" s="33">
        <v>97.7</v>
      </c>
      <c r="D151" s="37">
        <f t="shared" si="4"/>
        <v>1.8238665971860302E-2</v>
      </c>
      <c r="F151" s="34">
        <v>57016.959999999999</v>
      </c>
      <c r="G151" s="35">
        <f t="shared" si="5"/>
        <v>2.9193319959003317E-2</v>
      </c>
    </row>
    <row r="152" spans="2:7" x14ac:dyDescent="0.35">
      <c r="B152" s="24">
        <v>45249</v>
      </c>
      <c r="C152" s="33">
        <v>98</v>
      </c>
      <c r="D152" s="37">
        <f t="shared" si="4"/>
        <v>3.0706243602864891E-3</v>
      </c>
      <c r="F152" s="34">
        <v>59173.34</v>
      </c>
      <c r="G152" s="35">
        <f t="shared" si="5"/>
        <v>3.7819974968851255E-2</v>
      </c>
    </row>
    <row r="153" spans="2:7" x14ac:dyDescent="0.35">
      <c r="B153" s="24">
        <v>45256</v>
      </c>
      <c r="C153" s="33">
        <v>101.51</v>
      </c>
      <c r="D153" s="37">
        <f t="shared" si="4"/>
        <v>3.5816326530612397E-2</v>
      </c>
      <c r="F153" s="34">
        <v>61691.25</v>
      </c>
      <c r="G153" s="35">
        <f t="shared" si="5"/>
        <v>4.2551426030709161E-2</v>
      </c>
    </row>
    <row r="154" spans="2:7" x14ac:dyDescent="0.35">
      <c r="B154" s="24">
        <v>45263</v>
      </c>
      <c r="C154" s="33">
        <v>109.1</v>
      </c>
      <c r="D154" s="37">
        <f t="shared" si="4"/>
        <v>7.4770958526253484E-2</v>
      </c>
      <c r="F154" s="34">
        <v>66223.63</v>
      </c>
      <c r="G154" s="35">
        <f t="shared" si="5"/>
        <v>7.3468765829838079E-2</v>
      </c>
    </row>
    <row r="155" spans="2:7" x14ac:dyDescent="0.35">
      <c r="B155" s="24">
        <v>45270</v>
      </c>
      <c r="C155" s="33">
        <v>112.5</v>
      </c>
      <c r="D155" s="37">
        <f t="shared" si="4"/>
        <v>3.1164069660861715E-2</v>
      </c>
      <c r="F155" s="34">
        <v>66130.02</v>
      </c>
      <c r="G155" s="35">
        <f t="shared" si="5"/>
        <v>-1.4135437758395764E-3</v>
      </c>
    </row>
    <row r="156" spans="2:7" x14ac:dyDescent="0.35">
      <c r="B156" s="24">
        <v>45277</v>
      </c>
      <c r="C156" s="33">
        <v>107.98</v>
      </c>
      <c r="D156" s="37">
        <f t="shared" si="4"/>
        <v>-4.0177777777777757E-2</v>
      </c>
      <c r="F156" s="34">
        <v>61705.09</v>
      </c>
      <c r="G156" s="35">
        <f t="shared" si="5"/>
        <v>-6.6912576164350313E-2</v>
      </c>
    </row>
    <row r="157" spans="2:7" x14ac:dyDescent="0.35">
      <c r="B157" s="24">
        <v>45284</v>
      </c>
      <c r="C157" s="33">
        <v>112.3</v>
      </c>
      <c r="D157" s="37">
        <f t="shared" si="4"/>
        <v>4.0007408779403564E-2</v>
      </c>
      <c r="F157" s="34">
        <v>62451.040000000001</v>
      </c>
      <c r="G157" s="35">
        <f t="shared" si="5"/>
        <v>1.2088954087904336E-2</v>
      </c>
    </row>
    <row r="158" spans="2:7" x14ac:dyDescent="0.35">
      <c r="B158" s="24">
        <v>45291</v>
      </c>
      <c r="C158" s="33">
        <v>117.35</v>
      </c>
      <c r="D158" s="37">
        <f t="shared" si="4"/>
        <v>4.4968833481745296E-2</v>
      </c>
      <c r="F158" s="34">
        <v>64514.9</v>
      </c>
      <c r="G158" s="35">
        <f t="shared" si="5"/>
        <v>3.3047648205698499E-2</v>
      </c>
    </row>
    <row r="159" spans="2:7" x14ac:dyDescent="0.35">
      <c r="B159" s="24">
        <v>45298</v>
      </c>
      <c r="C159" s="33">
        <v>123.1</v>
      </c>
      <c r="D159" s="37">
        <f t="shared" si="4"/>
        <v>4.899872177247544E-2</v>
      </c>
      <c r="F159" s="34">
        <v>64637.64</v>
      </c>
      <c r="G159" s="35">
        <f t="shared" si="5"/>
        <v>1.9025062427437955E-3</v>
      </c>
    </row>
    <row r="160" spans="2:7" x14ac:dyDescent="0.35">
      <c r="B160" s="24">
        <v>45305</v>
      </c>
      <c r="C160" s="33">
        <v>121.4</v>
      </c>
      <c r="D160" s="37">
        <f t="shared" si="4"/>
        <v>-1.380991064175463E-2</v>
      </c>
      <c r="F160" s="34">
        <v>63282.23</v>
      </c>
      <c r="G160" s="35">
        <f t="shared" si="5"/>
        <v>-2.0969360886319399E-2</v>
      </c>
    </row>
    <row r="161" spans="2:7" x14ac:dyDescent="0.35">
      <c r="B161" s="24">
        <v>45312</v>
      </c>
      <c r="C161" s="33">
        <v>127.7</v>
      </c>
      <c r="D161" s="37">
        <f t="shared" si="4"/>
        <v>5.1894563426688523E-2</v>
      </c>
      <c r="F161" s="34">
        <v>63813.06</v>
      </c>
      <c r="G161" s="35">
        <f t="shared" si="5"/>
        <v>8.388294786703776E-3</v>
      </c>
    </row>
    <row r="162" spans="2:7" x14ac:dyDescent="0.35">
      <c r="B162" s="24">
        <v>45319</v>
      </c>
      <c r="C162" s="33">
        <v>124.8</v>
      </c>
      <c r="D162" s="37">
        <f t="shared" si="4"/>
        <v>-2.2709475332811313E-2</v>
      </c>
      <c r="F162" s="34">
        <v>63002.92</v>
      </c>
      <c r="G162" s="35">
        <f t="shared" si="5"/>
        <v>-1.2695520321388765E-2</v>
      </c>
    </row>
    <row r="163" spans="2:7" x14ac:dyDescent="0.35">
      <c r="B163" s="24">
        <v>45326</v>
      </c>
      <c r="C163" s="33">
        <v>124.75</v>
      </c>
      <c r="D163" s="37">
        <f t="shared" si="4"/>
        <v>-4.0064102564096871E-4</v>
      </c>
      <c r="F163" s="34">
        <v>62943.75</v>
      </c>
      <c r="G163" s="35">
        <f t="shared" si="5"/>
        <v>-9.3916281975503502E-4</v>
      </c>
    </row>
    <row r="164" spans="2:7" x14ac:dyDescent="0.35">
      <c r="B164" s="24">
        <v>45333</v>
      </c>
      <c r="C164" s="33">
        <v>129.94999999999999</v>
      </c>
      <c r="D164" s="37">
        <f t="shared" si="4"/>
        <v>4.1683366733466842E-2</v>
      </c>
      <c r="F164" s="34">
        <v>59872.959999999999</v>
      </c>
      <c r="G164" s="35">
        <f t="shared" si="5"/>
        <v>-4.8786257571244218E-2</v>
      </c>
    </row>
    <row r="165" spans="2:7" x14ac:dyDescent="0.35">
      <c r="B165" s="24">
        <v>45340</v>
      </c>
      <c r="C165" s="33">
        <v>136</v>
      </c>
      <c r="D165" s="37">
        <f t="shared" si="4"/>
        <v>4.6556367833782364E-2</v>
      </c>
      <c r="F165" s="34">
        <v>62815.82</v>
      </c>
      <c r="G165" s="35">
        <f t="shared" si="5"/>
        <v>4.9151737278397389E-2</v>
      </c>
    </row>
    <row r="166" spans="2:7" x14ac:dyDescent="0.35">
      <c r="B166" s="24">
        <v>45347</v>
      </c>
      <c r="C166" s="33">
        <v>146.5</v>
      </c>
      <c r="D166" s="37">
        <f t="shared" si="4"/>
        <v>7.7205882352941124E-2</v>
      </c>
      <c r="F166" s="34">
        <v>65325.69</v>
      </c>
      <c r="G166" s="35">
        <f t="shared" si="5"/>
        <v>3.9956017449107595E-2</v>
      </c>
    </row>
    <row r="167" spans="2:7" x14ac:dyDescent="0.35">
      <c r="B167" s="24">
        <v>45354</v>
      </c>
      <c r="C167" s="33">
        <v>146.97999999999999</v>
      </c>
      <c r="D167" s="37">
        <f t="shared" si="4"/>
        <v>3.2764505119453613E-3</v>
      </c>
      <c r="F167" s="34">
        <v>65793.759999999995</v>
      </c>
      <c r="G167" s="35">
        <f t="shared" si="5"/>
        <v>7.1651749870531578E-3</v>
      </c>
    </row>
    <row r="168" spans="2:7" x14ac:dyDescent="0.35">
      <c r="B168" s="24">
        <v>45361</v>
      </c>
      <c r="C168" s="33">
        <v>142.4</v>
      </c>
      <c r="D168" s="37">
        <f t="shared" si="4"/>
        <v>-3.116070213634492E-2</v>
      </c>
      <c r="F168" s="34">
        <v>64816.47</v>
      </c>
      <c r="G168" s="35">
        <f t="shared" si="5"/>
        <v>-1.4853840242600391E-2</v>
      </c>
    </row>
    <row r="169" spans="2:7" x14ac:dyDescent="0.35">
      <c r="B169" s="24">
        <v>45368</v>
      </c>
      <c r="C169" s="33">
        <v>144.85</v>
      </c>
      <c r="D169" s="37">
        <f t="shared" si="4"/>
        <v>1.7205056179775191E-2</v>
      </c>
      <c r="F169" s="34">
        <v>65151.83</v>
      </c>
      <c r="G169" s="35">
        <f t="shared" si="5"/>
        <v>5.173993585272374E-3</v>
      </c>
    </row>
    <row r="170" spans="2:7" x14ac:dyDescent="0.35">
      <c r="B170" s="24">
        <v>45375</v>
      </c>
      <c r="C170" s="33">
        <v>147.79</v>
      </c>
      <c r="D170" s="37">
        <f t="shared" si="4"/>
        <v>2.02968588194683E-2</v>
      </c>
      <c r="F170" s="34">
        <v>67005.11</v>
      </c>
      <c r="G170" s="35">
        <f t="shared" si="5"/>
        <v>2.8445555558454849E-2</v>
      </c>
    </row>
    <row r="171" spans="2:7" x14ac:dyDescent="0.35">
      <c r="B171" s="24">
        <v>45382</v>
      </c>
      <c r="C171" s="33">
        <v>151.69999999999999</v>
      </c>
      <c r="D171" s="37">
        <f t="shared" si="4"/>
        <v>2.6456458488395729E-2</v>
      </c>
      <c r="F171" s="34">
        <v>68416.78</v>
      </c>
      <c r="G171" s="35">
        <f t="shared" si="5"/>
        <v>2.1068094657258118E-2</v>
      </c>
    </row>
    <row r="172" spans="2:7" x14ac:dyDescent="0.35">
      <c r="B172" s="24">
        <v>45389</v>
      </c>
      <c r="C172" s="33">
        <v>154.68</v>
      </c>
      <c r="D172" s="37">
        <f t="shared" si="4"/>
        <v>1.9644034278180733E-2</v>
      </c>
      <c r="F172" s="34">
        <v>70314.720000000001</v>
      </c>
      <c r="G172" s="35">
        <f t="shared" si="5"/>
        <v>2.7740855386646501E-2</v>
      </c>
    </row>
    <row r="173" spans="2:7" x14ac:dyDescent="0.35">
      <c r="B173" s="24">
        <v>45396</v>
      </c>
      <c r="C173" s="33">
        <v>157.72999999999999</v>
      </c>
      <c r="D173" s="37">
        <f t="shared" si="4"/>
        <v>1.971812774760795E-2</v>
      </c>
      <c r="F173" s="34">
        <v>70909.899999999994</v>
      </c>
      <c r="G173" s="35">
        <f t="shared" si="5"/>
        <v>8.4645149692694766E-3</v>
      </c>
    </row>
    <row r="174" spans="2:7" x14ac:dyDescent="0.35">
      <c r="B174" s="24">
        <v>45403</v>
      </c>
      <c r="C174" s="33">
        <v>174.39</v>
      </c>
      <c r="D174" s="37">
        <f t="shared" si="4"/>
        <v>0.10562353388702217</v>
      </c>
      <c r="F174" s="34">
        <v>72742.75</v>
      </c>
      <c r="G174" s="35">
        <f t="shared" si="5"/>
        <v>2.5847589687758799E-2</v>
      </c>
    </row>
    <row r="175" spans="2:7" x14ac:dyDescent="0.35">
      <c r="B175" s="24">
        <v>45410</v>
      </c>
      <c r="C175" s="33">
        <v>155.58000000000001</v>
      </c>
      <c r="D175" s="37">
        <f t="shared" si="4"/>
        <v>-0.10786168931704787</v>
      </c>
      <c r="F175" s="34">
        <v>71902.09</v>
      </c>
      <c r="G175" s="35">
        <f t="shared" si="5"/>
        <v>-1.1556615607741016E-2</v>
      </c>
    </row>
    <row r="176" spans="2:7" x14ac:dyDescent="0.35">
      <c r="B176" s="24">
        <v>45417</v>
      </c>
      <c r="C176" s="33">
        <v>145</v>
      </c>
      <c r="D176" s="37">
        <f t="shared" si="4"/>
        <v>-6.8003599434374729E-2</v>
      </c>
      <c r="F176" s="34">
        <v>73085.5</v>
      </c>
      <c r="G176" s="35">
        <f t="shared" si="5"/>
        <v>1.6458631452854977E-2</v>
      </c>
    </row>
    <row r="177" spans="2:7" x14ac:dyDescent="0.35">
      <c r="B177" s="24">
        <v>45424</v>
      </c>
      <c r="C177" s="33">
        <v>154</v>
      </c>
      <c r="D177" s="37">
        <f t="shared" si="4"/>
        <v>6.2068965517241281E-2</v>
      </c>
      <c r="F177" s="34">
        <v>75342.350000000006</v>
      </c>
      <c r="G177" s="35">
        <f t="shared" si="5"/>
        <v>3.0879586238036438E-2</v>
      </c>
    </row>
    <row r="178" spans="2:7" x14ac:dyDescent="0.35">
      <c r="B178" s="24">
        <v>45431</v>
      </c>
      <c r="C178" s="33">
        <v>158.19999999999999</v>
      </c>
      <c r="D178" s="37">
        <f t="shared" si="4"/>
        <v>2.7272727272727115E-2</v>
      </c>
      <c r="F178" s="34">
        <v>75983.039999999994</v>
      </c>
      <c r="G178" s="35">
        <f t="shared" si="5"/>
        <v>8.5037167011645654E-3</v>
      </c>
    </row>
    <row r="179" spans="2:7" x14ac:dyDescent="0.35">
      <c r="B179" s="24">
        <v>45438</v>
      </c>
      <c r="C179" s="33">
        <v>160.1</v>
      </c>
      <c r="D179" s="37">
        <f t="shared" si="4"/>
        <v>1.2010113780025256E-2</v>
      </c>
      <c r="F179" s="34">
        <v>75878.48</v>
      </c>
      <c r="G179" s="35">
        <f t="shared" si="5"/>
        <v>-1.3760965604955322E-3</v>
      </c>
    </row>
    <row r="180" spans="2:7" x14ac:dyDescent="0.35">
      <c r="B180" s="24">
        <v>45445</v>
      </c>
      <c r="C180" s="33">
        <v>158.9</v>
      </c>
      <c r="D180" s="37">
        <f t="shared" si="4"/>
        <v>-7.4953154278575296E-3</v>
      </c>
      <c r="F180" s="34">
        <v>73754.02</v>
      </c>
      <c r="G180" s="35">
        <f t="shared" si="5"/>
        <v>-2.7998188682746283E-2</v>
      </c>
    </row>
    <row r="181" spans="2:7" x14ac:dyDescent="0.35">
      <c r="B181" s="24">
        <v>45452</v>
      </c>
      <c r="C181" s="33">
        <v>165.4</v>
      </c>
      <c r="D181" s="37">
        <f t="shared" si="4"/>
        <v>4.0906230333543014E-2</v>
      </c>
      <c r="F181" s="34">
        <v>76706.77</v>
      </c>
      <c r="G181" s="35">
        <f t="shared" si="5"/>
        <v>4.0035105883041933E-2</v>
      </c>
    </row>
    <row r="182" spans="2:7" x14ac:dyDescent="0.35">
      <c r="B182" s="24">
        <v>45459</v>
      </c>
      <c r="C182" s="33">
        <v>164.39</v>
      </c>
      <c r="D182" s="37">
        <f t="shared" si="4"/>
        <v>-6.1064087061669658E-3</v>
      </c>
      <c r="F182" s="34">
        <v>78810.490000000005</v>
      </c>
      <c r="G182" s="35">
        <f t="shared" si="5"/>
        <v>2.7425480176000105E-2</v>
      </c>
    </row>
    <row r="183" spans="2:7" x14ac:dyDescent="0.35">
      <c r="B183" s="24">
        <v>45466</v>
      </c>
      <c r="C183" s="33">
        <v>166.22</v>
      </c>
      <c r="D183" s="37">
        <f t="shared" si="4"/>
        <v>1.1132063994160335E-2</v>
      </c>
      <c r="F183" s="34">
        <v>78444.960000000006</v>
      </c>
      <c r="G183" s="35">
        <f t="shared" si="5"/>
        <v>-4.6380881529857199E-3</v>
      </c>
    </row>
    <row r="184" spans="2:7" x14ac:dyDescent="0.35">
      <c r="B184" s="24">
        <v>45473</v>
      </c>
      <c r="C184" s="33">
        <v>168.21</v>
      </c>
      <c r="D184" s="37">
        <f t="shared" si="4"/>
        <v>1.1972085188304726E-2</v>
      </c>
      <c r="F184" s="34">
        <v>80212.789999999994</v>
      </c>
      <c r="G184" s="35">
        <f t="shared" si="5"/>
        <v>2.2535928375768011E-2</v>
      </c>
    </row>
    <row r="185" spans="2:7" x14ac:dyDescent="0.35">
      <c r="B185" s="24">
        <v>45480</v>
      </c>
      <c r="C185" s="33">
        <v>169.03</v>
      </c>
      <c r="D185" s="37">
        <f t="shared" si="4"/>
        <v>4.8748588074429833E-3</v>
      </c>
      <c r="F185" s="34">
        <v>79944.100000000006</v>
      </c>
      <c r="G185" s="35">
        <f t="shared" si="5"/>
        <v>-3.3497151763451916E-3</v>
      </c>
    </row>
    <row r="186" spans="2:7" x14ac:dyDescent="0.35">
      <c r="B186" s="24">
        <v>45487</v>
      </c>
      <c r="C186" s="33">
        <v>170.57</v>
      </c>
      <c r="D186" s="37">
        <f t="shared" si="4"/>
        <v>9.1108087321776221E-3</v>
      </c>
      <c r="F186" s="34">
        <v>80117.89</v>
      </c>
      <c r="G186" s="35">
        <f t="shared" si="5"/>
        <v>2.1738940084383707E-3</v>
      </c>
    </row>
    <row r="187" spans="2:7" x14ac:dyDescent="0.35">
      <c r="B187" s="24">
        <v>45494</v>
      </c>
      <c r="C187" s="33">
        <v>170.25</v>
      </c>
      <c r="D187" s="37">
        <f t="shared" si="4"/>
        <v>-1.8760626135896352E-3</v>
      </c>
      <c r="F187" s="34">
        <v>78029.509999999995</v>
      </c>
      <c r="G187" s="35">
        <f t="shared" si="5"/>
        <v>-2.6066337992675548E-2</v>
      </c>
    </row>
    <row r="188" spans="2:7" x14ac:dyDescent="0.35">
      <c r="B188" s="24">
        <v>45501</v>
      </c>
      <c r="C188" s="33">
        <v>168.01</v>
      </c>
      <c r="D188" s="37">
        <f t="shared" si="4"/>
        <v>-1.315712187958884E-2</v>
      </c>
      <c r="F188" s="34">
        <v>78225.98</v>
      </c>
      <c r="G188" s="35">
        <f t="shared" si="5"/>
        <v>2.5178935507861322E-3</v>
      </c>
    </row>
    <row r="189" spans="2:7" x14ac:dyDescent="0.35">
      <c r="B189" s="24">
        <v>45508</v>
      </c>
      <c r="C189" s="33">
        <v>165.28</v>
      </c>
      <c r="D189" s="37">
        <f t="shared" si="4"/>
        <v>-1.6249032795666918E-2</v>
      </c>
      <c r="F189" s="34">
        <v>78569.59</v>
      </c>
      <c r="G189" s="35">
        <f t="shared" si="5"/>
        <v>4.3925304611076577E-3</v>
      </c>
    </row>
    <row r="190" spans="2:7" x14ac:dyDescent="0.35">
      <c r="B190" s="24">
        <v>45515</v>
      </c>
      <c r="C190" s="33">
        <v>162.25</v>
      </c>
      <c r="D190" s="37">
        <f t="shared" si="4"/>
        <v>-1.8332526621490763E-2</v>
      </c>
      <c r="F190" s="34">
        <v>78045.31</v>
      </c>
      <c r="G190" s="35">
        <f t="shared" si="5"/>
        <v>-6.6728106892246508E-3</v>
      </c>
    </row>
    <row r="191" spans="2:7" x14ac:dyDescent="0.35">
      <c r="B191" s="24">
        <v>45522</v>
      </c>
      <c r="C191" s="33">
        <v>161.6</v>
      </c>
      <c r="D191" s="37">
        <f t="shared" si="4"/>
        <v>-4.0061633281972542E-3</v>
      </c>
      <c r="F191" s="34">
        <v>78801.429999999993</v>
      </c>
      <c r="G191" s="35">
        <f t="shared" si="5"/>
        <v>9.6882182926814053E-3</v>
      </c>
    </row>
    <row r="192" spans="2:7" x14ac:dyDescent="0.35">
      <c r="B192" s="24">
        <v>45529</v>
      </c>
      <c r="C192" s="33">
        <v>161.37</v>
      </c>
      <c r="D192" s="37">
        <f t="shared" si="4"/>
        <v>-1.4232673267325913E-3</v>
      </c>
      <c r="F192" s="34">
        <v>78488.22</v>
      </c>
      <c r="G192" s="35">
        <f t="shared" si="5"/>
        <v>-3.9746740636558142E-3</v>
      </c>
    </row>
    <row r="193" spans="2:7" x14ac:dyDescent="0.35">
      <c r="B193" s="24">
        <v>45536</v>
      </c>
      <c r="C193" s="33">
        <v>164.5</v>
      </c>
      <c r="D193" s="37">
        <f t="shared" si="4"/>
        <v>1.9396418169424168E-2</v>
      </c>
      <c r="F193" s="34">
        <v>78897.73</v>
      </c>
      <c r="G193" s="35">
        <f t="shared" si="5"/>
        <v>5.2174708510397405E-3</v>
      </c>
    </row>
    <row r="194" spans="2:7" x14ac:dyDescent="0.35">
      <c r="B194" s="24">
        <v>45543</v>
      </c>
      <c r="C194" s="33">
        <v>171.48</v>
      </c>
      <c r="D194" s="37">
        <f t="shared" si="4"/>
        <v>4.2431610942249121E-2</v>
      </c>
      <c r="F194" s="34">
        <v>79333.06</v>
      </c>
      <c r="G194" s="35">
        <f t="shared" si="5"/>
        <v>5.5176492403521404E-3</v>
      </c>
    </row>
    <row r="195" spans="2:7" x14ac:dyDescent="0.35">
      <c r="B195" s="24">
        <v>45550</v>
      </c>
      <c r="C195" s="33">
        <v>186.26</v>
      </c>
      <c r="D195" s="37">
        <f t="shared" si="4"/>
        <v>8.6190809423839498E-2</v>
      </c>
      <c r="F195" s="34">
        <v>82074.45</v>
      </c>
      <c r="G195" s="35">
        <f t="shared" si="5"/>
        <v>3.4555455191064066E-2</v>
      </c>
    </row>
    <row r="196" spans="2:7" x14ac:dyDescent="0.35">
      <c r="B196" s="24">
        <v>45557</v>
      </c>
      <c r="C196" s="33">
        <v>190.68</v>
      </c>
      <c r="D196" s="37">
        <f t="shared" si="4"/>
        <v>2.3730269515730873E-2</v>
      </c>
      <c r="F196" s="34">
        <v>81292.13</v>
      </c>
      <c r="G196" s="35">
        <f t="shared" si="5"/>
        <v>-9.531833597422712E-3</v>
      </c>
    </row>
    <row r="197" spans="2:7" x14ac:dyDescent="0.35">
      <c r="B197" s="24">
        <v>45564</v>
      </c>
      <c r="C197" s="33">
        <v>193.91</v>
      </c>
      <c r="D197" s="37">
        <f t="shared" si="4"/>
        <v>1.6939374868890189E-2</v>
      </c>
      <c r="F197" s="34">
        <v>83531.960000000006</v>
      </c>
      <c r="G197" s="35">
        <f t="shared" si="5"/>
        <v>2.7552851672111522E-2</v>
      </c>
    </row>
    <row r="198" spans="2:7" x14ac:dyDescent="0.35">
      <c r="B198" s="24">
        <v>45571</v>
      </c>
      <c r="C198" s="33">
        <v>198.16</v>
      </c>
      <c r="D198" s="37">
        <f t="shared" si="4"/>
        <v>2.191738435356605E-2</v>
      </c>
      <c r="F198" s="34">
        <v>85483.4</v>
      </c>
      <c r="G198" s="35">
        <f t="shared" si="5"/>
        <v>2.3361597165922898E-2</v>
      </c>
    </row>
    <row r="199" spans="2:7" x14ac:dyDescent="0.35">
      <c r="B199" s="24">
        <v>45578</v>
      </c>
      <c r="C199" s="33">
        <v>196</v>
      </c>
      <c r="D199" s="37">
        <f t="shared" si="4"/>
        <v>-1.0900282599919264E-2</v>
      </c>
      <c r="F199" s="34">
        <v>85250.09</v>
      </c>
      <c r="G199" s="35">
        <f t="shared" si="5"/>
        <v>-2.7293018293610416E-3</v>
      </c>
    </row>
    <row r="200" spans="2:7" x14ac:dyDescent="0.35">
      <c r="B200" s="24">
        <v>45585</v>
      </c>
      <c r="C200" s="33">
        <v>205.61</v>
      </c>
      <c r="D200" s="37">
        <f t="shared" ref="D200:D263" si="6">C200/C199 -1</f>
        <v>4.903061224489802E-2</v>
      </c>
      <c r="F200" s="34">
        <v>89993.97</v>
      </c>
      <c r="G200" s="35">
        <f t="shared" ref="G200:G261" si="7">F200/F199 -1</f>
        <v>5.5646627469836174E-2</v>
      </c>
    </row>
    <row r="201" spans="2:7" x14ac:dyDescent="0.35">
      <c r="B201" s="24">
        <v>45592</v>
      </c>
      <c r="C201" s="33">
        <v>194.3</v>
      </c>
      <c r="D201" s="37">
        <f t="shared" si="6"/>
        <v>-5.5007052186177741E-2</v>
      </c>
      <c r="F201" s="34">
        <v>90859.85</v>
      </c>
      <c r="G201" s="35">
        <f t="shared" si="7"/>
        <v>9.6215335316356398E-3</v>
      </c>
    </row>
    <row r="202" spans="2:7" x14ac:dyDescent="0.35">
      <c r="B202" s="24">
        <v>45599</v>
      </c>
      <c r="C202" s="33">
        <v>199.59</v>
      </c>
      <c r="D202" s="37">
        <f t="shared" si="6"/>
        <v>2.7225939269171384E-2</v>
      </c>
      <c r="F202" s="34">
        <v>93291.68</v>
      </c>
      <c r="G202" s="35">
        <f t="shared" si="7"/>
        <v>2.676462706024707E-2</v>
      </c>
    </row>
    <row r="203" spans="2:7" x14ac:dyDescent="0.35">
      <c r="B203" s="24">
        <v>45606</v>
      </c>
      <c r="C203" s="33">
        <v>200.14</v>
      </c>
      <c r="D203" s="37">
        <f t="shared" si="6"/>
        <v>2.7556490806150968E-3</v>
      </c>
      <c r="F203" s="34">
        <v>94763.64</v>
      </c>
      <c r="G203" s="35">
        <f t="shared" si="7"/>
        <v>1.5778041514527441E-2</v>
      </c>
    </row>
    <row r="204" spans="2:7" x14ac:dyDescent="0.35">
      <c r="B204" s="24">
        <v>45613</v>
      </c>
      <c r="C204" s="33">
        <v>204.2</v>
      </c>
      <c r="D204" s="37">
        <f t="shared" si="6"/>
        <v>2.0285799940042093E-2</v>
      </c>
      <c r="F204" s="34">
        <v>97798.23</v>
      </c>
      <c r="G204" s="35">
        <f t="shared" si="7"/>
        <v>3.2022725171806377E-2</v>
      </c>
    </row>
    <row r="205" spans="2:7" x14ac:dyDescent="0.35">
      <c r="B205" s="24">
        <v>45620</v>
      </c>
      <c r="C205" s="33">
        <v>200.21</v>
      </c>
      <c r="D205" s="37">
        <f t="shared" si="6"/>
        <v>-1.9539666993143912E-2</v>
      </c>
      <c r="F205" s="34">
        <v>101357.32</v>
      </c>
      <c r="G205" s="35">
        <f t="shared" si="7"/>
        <v>3.6392171923766092E-2</v>
      </c>
    </row>
    <row r="206" spans="2:7" x14ac:dyDescent="0.35">
      <c r="B206" s="24">
        <v>45627</v>
      </c>
      <c r="C206" s="33">
        <v>208.95</v>
      </c>
      <c r="D206" s="37">
        <f t="shared" si="6"/>
        <v>4.365416312871484E-2</v>
      </c>
      <c r="F206" s="34">
        <v>109053.95</v>
      </c>
      <c r="G206" s="35">
        <f t="shared" si="7"/>
        <v>7.5935610767924766E-2</v>
      </c>
    </row>
    <row r="207" spans="2:7" x14ac:dyDescent="0.35">
      <c r="B207" s="24">
        <v>45634</v>
      </c>
      <c r="C207" s="33">
        <v>204.64</v>
      </c>
      <c r="D207" s="37">
        <f t="shared" si="6"/>
        <v>-2.0626944245034751E-2</v>
      </c>
      <c r="F207" s="34">
        <v>114301.8</v>
      </c>
      <c r="G207" s="35">
        <f t="shared" si="7"/>
        <v>4.8121594861992634E-2</v>
      </c>
    </row>
    <row r="208" spans="2:7" x14ac:dyDescent="0.35">
      <c r="B208" s="24">
        <v>45641</v>
      </c>
      <c r="C208" s="33">
        <v>194.4</v>
      </c>
      <c r="D208" s="37">
        <f t="shared" si="6"/>
        <v>-5.0039093041438498E-2</v>
      </c>
      <c r="F208" s="34">
        <v>109513.15</v>
      </c>
      <c r="G208" s="35">
        <f t="shared" si="7"/>
        <v>-4.1894790808193805E-2</v>
      </c>
    </row>
    <row r="209" spans="2:7" x14ac:dyDescent="0.35">
      <c r="B209" s="24">
        <v>45648</v>
      </c>
      <c r="C209" s="33">
        <v>200.34</v>
      </c>
      <c r="D209" s="37">
        <f t="shared" si="6"/>
        <v>3.0555555555555447E-2</v>
      </c>
      <c r="F209" s="34">
        <v>111351.18</v>
      </c>
      <c r="G209" s="35">
        <f t="shared" si="7"/>
        <v>1.6783646530119878E-2</v>
      </c>
    </row>
    <row r="210" spans="2:7" x14ac:dyDescent="0.35">
      <c r="B210" s="24">
        <v>45655</v>
      </c>
      <c r="C210" s="33">
        <v>239.45</v>
      </c>
      <c r="D210" s="37">
        <f t="shared" si="6"/>
        <v>0.19521812918039316</v>
      </c>
      <c r="F210" s="34">
        <v>117586.98</v>
      </c>
      <c r="G210" s="35">
        <f t="shared" si="7"/>
        <v>5.600120268146247E-2</v>
      </c>
    </row>
    <row r="211" spans="2:7" x14ac:dyDescent="0.35">
      <c r="B211" s="24">
        <v>45662</v>
      </c>
      <c r="C211" s="33">
        <v>218.57</v>
      </c>
      <c r="D211" s="37">
        <f t="shared" si="6"/>
        <v>-8.7199832950511591E-2</v>
      </c>
      <c r="F211" s="34">
        <v>113247.29</v>
      </c>
      <c r="G211" s="35">
        <f t="shared" si="7"/>
        <v>-3.690621189522858E-2</v>
      </c>
    </row>
    <row r="212" spans="2:7" x14ac:dyDescent="0.35">
      <c r="B212" s="24">
        <v>45669</v>
      </c>
      <c r="C212" s="33">
        <v>221.33</v>
      </c>
      <c r="D212" s="37">
        <f t="shared" si="6"/>
        <v>1.2627533513291045E-2</v>
      </c>
      <c r="F212" s="34">
        <v>115272.08</v>
      </c>
      <c r="G212" s="35">
        <f t="shared" si="7"/>
        <v>1.7879368239187121E-2</v>
      </c>
    </row>
    <row r="213" spans="2:7" x14ac:dyDescent="0.35">
      <c r="B213" s="24">
        <v>45676</v>
      </c>
      <c r="C213" s="33">
        <v>223.14</v>
      </c>
      <c r="D213" s="37">
        <f t="shared" si="6"/>
        <v>8.1778340035241204E-3</v>
      </c>
      <c r="F213" s="34">
        <v>114880.49</v>
      </c>
      <c r="G213" s="35">
        <f t="shared" si="7"/>
        <v>-3.3970932076526905E-3</v>
      </c>
    </row>
    <row r="214" spans="2:7" x14ac:dyDescent="0.35">
      <c r="B214" s="24">
        <v>45683</v>
      </c>
      <c r="C214" s="33">
        <v>222.59</v>
      </c>
      <c r="D214" s="37">
        <f t="shared" si="6"/>
        <v>-2.4648202921931928E-3</v>
      </c>
      <c r="F214" s="34">
        <v>114255.73</v>
      </c>
      <c r="G214" s="35">
        <f t="shared" si="7"/>
        <v>-5.4383472772444597E-3</v>
      </c>
    </row>
    <row r="215" spans="2:7" x14ac:dyDescent="0.35">
      <c r="B215" s="24">
        <v>45690</v>
      </c>
      <c r="C215" s="33">
        <v>212.21</v>
      </c>
      <c r="D215" s="37">
        <f t="shared" si="6"/>
        <v>-4.6632822678467134E-2</v>
      </c>
      <c r="F215" s="34">
        <v>110322.94</v>
      </c>
      <c r="G215" s="35">
        <f t="shared" si="7"/>
        <v>-3.4420943264727222E-2</v>
      </c>
    </row>
    <row r="216" spans="2:7" x14ac:dyDescent="0.35">
      <c r="B216" s="24">
        <v>45697</v>
      </c>
      <c r="C216" s="33">
        <v>218.68</v>
      </c>
      <c r="D216" s="37">
        <f t="shared" si="6"/>
        <v>3.04886668865747E-2</v>
      </c>
      <c r="F216" s="34">
        <v>112085.3</v>
      </c>
      <c r="G216" s="35">
        <f t="shared" si="7"/>
        <v>1.5974556153053987E-2</v>
      </c>
    </row>
    <row r="217" spans="2:7" x14ac:dyDescent="0.35">
      <c r="B217" s="24">
        <v>45704</v>
      </c>
      <c r="C217" s="33">
        <v>224.76</v>
      </c>
      <c r="D217" s="37">
        <f t="shared" si="6"/>
        <v>2.7803182732760057E-2</v>
      </c>
      <c r="F217" s="34">
        <v>112800.93</v>
      </c>
      <c r="G217" s="35">
        <f t="shared" si="7"/>
        <v>6.384690945199667E-3</v>
      </c>
    </row>
    <row r="218" spans="2:7" x14ac:dyDescent="0.35">
      <c r="B218" s="24">
        <v>45711</v>
      </c>
      <c r="C218" s="33">
        <v>223.29</v>
      </c>
      <c r="D218" s="37">
        <f t="shared" si="6"/>
        <v>-6.540309663641164E-3</v>
      </c>
      <c r="F218" s="34">
        <v>113251.67</v>
      </c>
      <c r="G218" s="35">
        <f t="shared" si="7"/>
        <v>3.9958890409856895E-3</v>
      </c>
    </row>
    <row r="219" spans="2:7" x14ac:dyDescent="0.35">
      <c r="B219" s="24">
        <v>45718</v>
      </c>
      <c r="C219" s="33">
        <v>224.44</v>
      </c>
      <c r="D219" s="37">
        <f t="shared" si="6"/>
        <v>5.1502530341709374E-3</v>
      </c>
      <c r="F219" s="34">
        <v>114398.7</v>
      </c>
      <c r="G219" s="35">
        <f t="shared" si="7"/>
        <v>1.0128150869651575E-2</v>
      </c>
    </row>
    <row r="220" spans="2:7" x14ac:dyDescent="0.35">
      <c r="B220" s="24">
        <v>45725</v>
      </c>
      <c r="C220" s="33">
        <v>219.15</v>
      </c>
      <c r="D220" s="37">
        <f t="shared" si="6"/>
        <v>-2.3569773658884352E-2</v>
      </c>
      <c r="F220" s="34">
        <v>115536.17</v>
      </c>
      <c r="G220" s="35">
        <f t="shared" si="7"/>
        <v>9.9430325694260802E-3</v>
      </c>
    </row>
    <row r="221" spans="2:7" x14ac:dyDescent="0.35">
      <c r="B221" s="24">
        <v>45732</v>
      </c>
      <c r="C221" s="33">
        <v>212.9</v>
      </c>
      <c r="D221" s="37">
        <f t="shared" si="6"/>
        <v>-2.8519279032626077E-2</v>
      </c>
      <c r="F221" s="34">
        <v>118442.18</v>
      </c>
      <c r="G221" s="35">
        <f t="shared" si="7"/>
        <v>2.5152383015639046E-2</v>
      </c>
    </row>
    <row r="222" spans="2:7" x14ac:dyDescent="0.35">
      <c r="B222" s="24">
        <v>45739</v>
      </c>
      <c r="C222" s="33">
        <v>207.58</v>
      </c>
      <c r="D222" s="37">
        <f t="shared" si="6"/>
        <v>-2.4988257397839275E-2</v>
      </c>
      <c r="F222" s="34">
        <v>117806.75</v>
      </c>
      <c r="G222" s="35">
        <f t="shared" si="7"/>
        <v>-5.3648961881653801E-3</v>
      </c>
    </row>
    <row r="223" spans="2:7" x14ac:dyDescent="0.35">
      <c r="B223" s="24">
        <v>45746</v>
      </c>
      <c r="C223" s="33">
        <v>208.18</v>
      </c>
      <c r="D223" s="37">
        <f t="shared" si="6"/>
        <v>2.8904518739762963E-3</v>
      </c>
      <c r="F223" s="34">
        <v>118791.66</v>
      </c>
      <c r="G223" s="35">
        <f t="shared" si="7"/>
        <v>8.3603868199402243E-3</v>
      </c>
    </row>
    <row r="224" spans="2:7" x14ac:dyDescent="0.35">
      <c r="B224" s="24">
        <v>45753</v>
      </c>
      <c r="C224" s="33">
        <v>184.57</v>
      </c>
      <c r="D224" s="37">
        <f t="shared" si="6"/>
        <v>-0.11341147084254022</v>
      </c>
      <c r="F224" s="34">
        <v>114853.33</v>
      </c>
      <c r="G224" s="35">
        <f t="shared" si="7"/>
        <v>-3.3153253351287493E-2</v>
      </c>
    </row>
    <row r="225" spans="2:7" x14ac:dyDescent="0.35">
      <c r="B225" s="24">
        <v>45760</v>
      </c>
      <c r="C225" s="33">
        <v>187.1</v>
      </c>
      <c r="D225" s="37">
        <f t="shared" si="6"/>
        <v>1.3707536436040613E-2</v>
      </c>
      <c r="F225" s="34">
        <v>117315.59</v>
      </c>
      <c r="G225" s="35">
        <f t="shared" si="7"/>
        <v>2.1438298741534023E-2</v>
      </c>
    </row>
    <row r="226" spans="2:7" x14ac:dyDescent="0.35">
      <c r="B226" s="24">
        <v>45767</v>
      </c>
      <c r="C226" s="33">
        <v>175.75</v>
      </c>
      <c r="D226" s="37">
        <f t="shared" si="6"/>
        <v>-6.0662747194013877E-2</v>
      </c>
      <c r="F226" s="34">
        <v>115469.35</v>
      </c>
      <c r="G226" s="35">
        <f t="shared" si="7"/>
        <v>-1.5737379831614828E-2</v>
      </c>
    </row>
    <row r="227" spans="2:7" x14ac:dyDescent="0.35">
      <c r="B227" s="24">
        <v>45774</v>
      </c>
      <c r="C227" s="33">
        <v>169.54</v>
      </c>
      <c r="D227" s="37">
        <f t="shared" si="6"/>
        <v>-3.5334281650071131E-2</v>
      </c>
      <c r="F227" s="34">
        <v>114113.94</v>
      </c>
      <c r="G227" s="35">
        <f t="shared" si="7"/>
        <v>-1.1738266475042947E-2</v>
      </c>
    </row>
    <row r="228" spans="2:7" x14ac:dyDescent="0.35">
      <c r="B228" s="24">
        <v>45781</v>
      </c>
      <c r="C228" s="33">
        <v>162.63999999999999</v>
      </c>
      <c r="D228" s="37">
        <f t="shared" si="6"/>
        <v>-4.0698360268963119E-2</v>
      </c>
      <c r="F228" s="34">
        <v>107174.64</v>
      </c>
      <c r="G228" s="35">
        <f t="shared" si="7"/>
        <v>-6.0810274362623873E-2</v>
      </c>
    </row>
    <row r="229" spans="2:7" x14ac:dyDescent="0.35">
      <c r="B229" s="24">
        <v>45788</v>
      </c>
      <c r="C229" s="33">
        <v>181.07</v>
      </c>
      <c r="D229" s="37">
        <f t="shared" si="6"/>
        <v>0.11331775700934577</v>
      </c>
      <c r="F229" s="34">
        <v>119649.14</v>
      </c>
      <c r="G229" s="35">
        <f t="shared" si="7"/>
        <v>0.11639413950912258</v>
      </c>
    </row>
    <row r="230" spans="2:7" x14ac:dyDescent="0.35">
      <c r="B230" s="24">
        <v>45795</v>
      </c>
      <c r="C230" s="33">
        <v>181.21</v>
      </c>
      <c r="D230" s="37">
        <f t="shared" si="6"/>
        <v>7.7318164245876453E-4</v>
      </c>
      <c r="F230" s="34">
        <v>119102.67</v>
      </c>
      <c r="G230" s="35">
        <f t="shared" si="7"/>
        <v>-4.5672706047030776E-3</v>
      </c>
    </row>
    <row r="231" spans="2:7" x14ac:dyDescent="0.35">
      <c r="B231" s="24">
        <v>45802</v>
      </c>
      <c r="C231" s="33">
        <v>183.62</v>
      </c>
      <c r="D231" s="37">
        <f t="shared" si="6"/>
        <v>1.3299486783290071E-2</v>
      </c>
      <c r="F231" s="34">
        <v>119691.09</v>
      </c>
      <c r="G231" s="35">
        <f t="shared" si="7"/>
        <v>4.9404434006390385E-3</v>
      </c>
    </row>
    <row r="232" spans="2:7" x14ac:dyDescent="0.35">
      <c r="B232" s="24">
        <v>45809</v>
      </c>
      <c r="C232" s="33">
        <v>187.29</v>
      </c>
      <c r="D232" s="37">
        <f t="shared" si="6"/>
        <v>1.9986929528373665E-2</v>
      </c>
      <c r="F232" s="34">
        <v>121641</v>
      </c>
      <c r="G232" s="35">
        <f t="shared" si="7"/>
        <v>1.6291187589652756E-2</v>
      </c>
    </row>
    <row r="233" spans="2:7" x14ac:dyDescent="0.35">
      <c r="B233" s="24">
        <v>45816</v>
      </c>
      <c r="C233" s="33">
        <v>183.86</v>
      </c>
      <c r="D233" s="37">
        <f t="shared" si="6"/>
        <v>-1.8313844839553561E-2</v>
      </c>
      <c r="F233" s="34">
        <v>122143.57</v>
      </c>
      <c r="G233" s="35">
        <f t="shared" si="7"/>
        <v>4.1315839231839124E-3</v>
      </c>
    </row>
    <row r="234" spans="2:7" x14ac:dyDescent="0.35">
      <c r="B234" s="24">
        <v>45823</v>
      </c>
      <c r="C234" s="33">
        <v>180.3</v>
      </c>
      <c r="D234" s="37">
        <f t="shared" si="6"/>
        <v>-1.9362558468399849E-2</v>
      </c>
      <c r="F234" s="34">
        <v>120023.24</v>
      </c>
      <c r="G234" s="35">
        <f t="shared" si="7"/>
        <v>-1.7359325587093966E-2</v>
      </c>
    </row>
    <row r="235" spans="2:7" x14ac:dyDescent="0.35">
      <c r="B235" s="24">
        <v>45830</v>
      </c>
      <c r="C235" s="33">
        <v>188.56</v>
      </c>
      <c r="D235" s="37">
        <f t="shared" si="6"/>
        <v>4.5812534664448012E-2</v>
      </c>
      <c r="F235" s="34">
        <v>124379.07</v>
      </c>
      <c r="G235" s="35">
        <f t="shared" si="7"/>
        <v>3.629155486887381E-2</v>
      </c>
    </row>
    <row r="236" spans="2:7" x14ac:dyDescent="0.35">
      <c r="B236" s="24">
        <v>45837</v>
      </c>
      <c r="C236" s="33">
        <v>196.29</v>
      </c>
      <c r="D236" s="37">
        <f t="shared" si="6"/>
        <v>4.0994908782350459E-2</v>
      </c>
      <c r="F236" s="34">
        <v>131949.06</v>
      </c>
      <c r="G236" s="35">
        <f t="shared" si="7"/>
        <v>6.0862249573018889E-2</v>
      </c>
    </row>
    <row r="237" spans="2:7" x14ac:dyDescent="0.35">
      <c r="B237" s="24">
        <v>45844</v>
      </c>
      <c r="C237" s="33">
        <v>192.02</v>
      </c>
      <c r="D237" s="37">
        <f t="shared" si="6"/>
        <v>-2.175352794334906E-2</v>
      </c>
      <c r="F237" s="34">
        <v>134299.76999999999</v>
      </c>
      <c r="G237" s="35">
        <f t="shared" si="7"/>
        <v>1.7815284171027734E-2</v>
      </c>
    </row>
    <row r="238" spans="2:7" x14ac:dyDescent="0.35">
      <c r="B238" s="24">
        <v>45851</v>
      </c>
      <c r="C238" s="33">
        <v>209.32</v>
      </c>
      <c r="D238" s="37">
        <f t="shared" si="6"/>
        <v>9.0094781793563117E-2</v>
      </c>
      <c r="F238" s="34">
        <v>138597.35999999999</v>
      </c>
      <c r="G238" s="35">
        <f t="shared" si="7"/>
        <v>3.1999980342483081E-2</v>
      </c>
    </row>
    <row r="239" spans="2:7" x14ac:dyDescent="0.35">
      <c r="B239" s="24">
        <v>45858</v>
      </c>
      <c r="C239" s="33">
        <v>216.4</v>
      </c>
      <c r="D239" s="37">
        <f t="shared" si="6"/>
        <v>3.3823810433785573E-2</v>
      </c>
      <c r="F239" s="34">
        <v>139207.29999999999</v>
      </c>
      <c r="G239" s="35">
        <f t="shared" si="7"/>
        <v>4.4008053255848445E-3</v>
      </c>
    </row>
    <row r="240" spans="2:7" x14ac:dyDescent="0.35">
      <c r="B240" s="24">
        <v>45865</v>
      </c>
      <c r="C240" s="33">
        <v>206.89</v>
      </c>
      <c r="D240" s="37">
        <f t="shared" si="6"/>
        <v>-4.394639556377089E-2</v>
      </c>
      <c r="F240" s="34">
        <v>141034.98000000001</v>
      </c>
      <c r="G240" s="35">
        <f t="shared" si="7"/>
        <v>1.3129196529205078E-2</v>
      </c>
    </row>
    <row r="241" spans="2:7" x14ac:dyDescent="0.35">
      <c r="B241" s="24">
        <v>45872</v>
      </c>
      <c r="C241" s="33">
        <v>211.84</v>
      </c>
      <c r="D241" s="37">
        <f t="shared" si="6"/>
        <v>2.3925757648992407E-2</v>
      </c>
      <c r="F241" s="34">
        <v>145382.79999999999</v>
      </c>
      <c r="G241" s="35">
        <f t="shared" si="7"/>
        <v>3.0827954880413122E-2</v>
      </c>
    </row>
    <row r="242" spans="2:7" x14ac:dyDescent="0.35">
      <c r="B242" s="24">
        <v>45879</v>
      </c>
      <c r="C242" s="33">
        <v>208.23</v>
      </c>
      <c r="D242" s="37">
        <f t="shared" si="6"/>
        <v>-1.7041163141993998E-2</v>
      </c>
      <c r="F242" s="34">
        <v>146491.63</v>
      </c>
      <c r="G242" s="35">
        <f t="shared" si="7"/>
        <v>7.6269682520904158E-3</v>
      </c>
    </row>
    <row r="243" spans="2:7" x14ac:dyDescent="0.35">
      <c r="B243" s="24">
        <v>45886</v>
      </c>
      <c r="C243" s="33">
        <v>205.02</v>
      </c>
      <c r="D243" s="37">
        <f t="shared" si="6"/>
        <v>-1.5415646160495511E-2</v>
      </c>
      <c r="F243" s="34">
        <v>149493.06</v>
      </c>
      <c r="G243" s="35">
        <f t="shared" si="7"/>
        <v>2.0488747377580552E-2</v>
      </c>
    </row>
    <row r="244" spans="2:7" x14ac:dyDescent="0.35">
      <c r="B244" s="24">
        <v>45893</v>
      </c>
      <c r="C244" s="33">
        <v>202.67</v>
      </c>
      <c r="D244" s="37">
        <f t="shared" si="6"/>
        <v>-1.1462296361330671E-2</v>
      </c>
      <c r="F244" s="34">
        <v>148617.78</v>
      </c>
      <c r="G244" s="35">
        <f t="shared" si="7"/>
        <v>-5.8549875158083742E-3</v>
      </c>
    </row>
    <row r="245" spans="2:7" x14ac:dyDescent="0.35">
      <c r="B245" s="24">
        <v>45900</v>
      </c>
      <c r="C245" s="33">
        <v>209.97</v>
      </c>
      <c r="D245" s="37">
        <f t="shared" si="6"/>
        <v>3.6019144421966853E-2</v>
      </c>
      <c r="F245" s="34">
        <v>154277.19</v>
      </c>
      <c r="G245" s="35">
        <f t="shared" si="7"/>
        <v>3.8080302370281593E-2</v>
      </c>
    </row>
    <row r="246" spans="2:7" x14ac:dyDescent="0.35">
      <c r="B246" s="24">
        <v>45907</v>
      </c>
      <c r="C246" s="33">
        <v>215.14</v>
      </c>
      <c r="D246" s="37">
        <f t="shared" si="6"/>
        <v>2.4622565128351592E-2</v>
      </c>
      <c r="F246" s="34">
        <v>154439.69</v>
      </c>
      <c r="G246" s="35">
        <f t="shared" si="7"/>
        <v>1.0532989355069855E-3</v>
      </c>
    </row>
    <row r="247" spans="2:7" x14ac:dyDescent="0.35">
      <c r="B247" s="24">
        <v>45914</v>
      </c>
      <c r="C247" s="33">
        <v>217.4</v>
      </c>
      <c r="D247" s="37">
        <f t="shared" si="6"/>
        <v>1.0504787580180475E-2</v>
      </c>
      <c r="F247" s="34">
        <v>158037.38</v>
      </c>
      <c r="G247" s="35">
        <f t="shared" si="7"/>
        <v>2.3295112804228024E-2</v>
      </c>
    </row>
    <row r="248" spans="2:7" x14ac:dyDescent="0.35">
      <c r="B248" s="24">
        <v>45921</v>
      </c>
      <c r="C248" s="33">
        <v>219.43</v>
      </c>
      <c r="D248" s="37">
        <f t="shared" si="6"/>
        <v>9.3376264949402987E-3</v>
      </c>
      <c r="F248" s="34">
        <v>162257.01999999999</v>
      </c>
      <c r="G248" s="35">
        <f t="shared" si="7"/>
        <v>2.670026546884019E-2</v>
      </c>
    </row>
    <row r="249" spans="2:7" x14ac:dyDescent="0.35">
      <c r="B249" s="24">
        <v>45928</v>
      </c>
      <c r="C249" s="33">
        <v>230.23</v>
      </c>
      <c r="D249" s="37">
        <f t="shared" si="6"/>
        <v>4.9218429567515765E-2</v>
      </c>
      <c r="F249" s="34">
        <v>168990.06</v>
      </c>
      <c r="G249" s="35">
        <f t="shared" si="7"/>
        <v>4.1496139889664052E-2</v>
      </c>
    </row>
    <row r="250" spans="2:7" x14ac:dyDescent="0.35">
      <c r="B250" s="24">
        <v>45935</v>
      </c>
      <c r="C250" s="33">
        <v>228.34</v>
      </c>
      <c r="D250" s="37">
        <f t="shared" si="6"/>
        <v>-8.2091821222255446E-3</v>
      </c>
      <c r="F250" s="34">
        <v>163098.19</v>
      </c>
      <c r="G250" s="35">
        <f t="shared" si="7"/>
        <v>-3.4865186745303256E-2</v>
      </c>
    </row>
    <row r="251" spans="2:7" x14ac:dyDescent="0.35">
      <c r="B251" s="24">
        <v>45942</v>
      </c>
      <c r="C251" s="33">
        <v>216.02</v>
      </c>
      <c r="D251" s="37">
        <f t="shared" si="6"/>
        <v>-5.3954629061925163E-2</v>
      </c>
      <c r="F251" s="34">
        <v>163806.22</v>
      </c>
      <c r="G251" s="35">
        <f t="shared" si="7"/>
        <v>4.3411272681812552E-3</v>
      </c>
    </row>
    <row r="252" spans="2:7" x14ac:dyDescent="0.35">
      <c r="B252" s="24">
        <v>45949</v>
      </c>
      <c r="C252" s="33">
        <v>214.62</v>
      </c>
      <c r="D252" s="37">
        <f t="shared" si="6"/>
        <v>-6.4808813998703529E-3</v>
      </c>
      <c r="F252" s="34">
        <v>163304.13</v>
      </c>
      <c r="G252" s="35">
        <f t="shared" si="7"/>
        <v>-3.065146122045892E-3</v>
      </c>
    </row>
    <row r="253" spans="2:7" x14ac:dyDescent="0.35">
      <c r="B253" s="24">
        <v>45956</v>
      </c>
      <c r="C253" s="33">
        <v>207.45</v>
      </c>
      <c r="D253" s="37">
        <f t="shared" si="6"/>
        <v>-3.3407883701425889E-2</v>
      </c>
      <c r="F253" s="34">
        <v>161631.73000000001</v>
      </c>
      <c r="G253" s="35">
        <f t="shared" si="7"/>
        <v>-1.0241014725102193E-2</v>
      </c>
    </row>
    <row r="254" spans="2:7" x14ac:dyDescent="0.35">
      <c r="B254" s="24">
        <v>45963</v>
      </c>
      <c r="C254" s="33">
        <v>203.29</v>
      </c>
      <c r="D254" s="37">
        <f t="shared" si="6"/>
        <v>-2.0053024825259058E-2</v>
      </c>
      <c r="F254" s="34">
        <v>159592.91</v>
      </c>
      <c r="G254" s="35">
        <f t="shared" si="7"/>
        <v>-1.2613983652838501E-2</v>
      </c>
    </row>
    <row r="255" spans="2:7" x14ac:dyDescent="0.35">
      <c r="B255" s="24">
        <v>45970</v>
      </c>
      <c r="C255" s="33">
        <v>215.46</v>
      </c>
      <c r="D255" s="37">
        <f t="shared" si="6"/>
        <v>5.9865217177431429E-2</v>
      </c>
      <c r="F255" s="34">
        <v>161935.19</v>
      </c>
      <c r="G255" s="35">
        <f t="shared" si="7"/>
        <v>1.4676591836065844E-2</v>
      </c>
    </row>
    <row r="256" spans="2:7" x14ac:dyDescent="0.35">
      <c r="B256" s="24">
        <v>45977</v>
      </c>
      <c r="C256" s="33">
        <v>215.17</v>
      </c>
      <c r="D256" s="37">
        <f t="shared" si="6"/>
        <v>-1.3459574863085022E-3</v>
      </c>
      <c r="F256" s="34">
        <v>162102.92000000001</v>
      </c>
      <c r="G256" s="35">
        <f t="shared" si="7"/>
        <v>1.0357847482069804E-3</v>
      </c>
    </row>
    <row r="257" spans="2:7" x14ac:dyDescent="0.35">
      <c r="B257" s="24">
        <v>45984</v>
      </c>
      <c r="C257" s="33">
        <v>219.8</v>
      </c>
      <c r="D257" s="37">
        <f t="shared" si="6"/>
        <v>2.1517869591485939E-2</v>
      </c>
      <c r="F257" s="34">
        <v>166677.70000000001</v>
      </c>
      <c r="G257" s="35">
        <f t="shared" si="7"/>
        <v>2.8221453382826223E-2</v>
      </c>
    </row>
    <row r="258" spans="2:7" x14ac:dyDescent="0.35">
      <c r="B258" s="24">
        <v>45991</v>
      </c>
      <c r="C258" s="33">
        <v>218.12</v>
      </c>
      <c r="D258" s="37">
        <f t="shared" si="6"/>
        <v>-7.6433121019108263E-3</v>
      </c>
      <c r="F258" s="34">
        <v>167085.57999999999</v>
      </c>
      <c r="G258" s="35">
        <f t="shared" si="7"/>
        <v>2.4471180007881177E-3</v>
      </c>
    </row>
    <row r="259" spans="2:7" x14ac:dyDescent="0.35">
      <c r="B259" s="24">
        <v>45998</v>
      </c>
      <c r="C259" s="33">
        <v>219.43</v>
      </c>
      <c r="D259" s="37">
        <f t="shared" si="6"/>
        <v>6.005868329360009E-3</v>
      </c>
      <c r="F259" s="34">
        <v>169864.53</v>
      </c>
      <c r="G259" s="35">
        <f t="shared" si="7"/>
        <v>1.6631896061886531E-2</v>
      </c>
    </row>
    <row r="260" spans="2:7" x14ac:dyDescent="0.35">
      <c r="B260" s="24">
        <v>46005</v>
      </c>
      <c r="C260" s="33">
        <v>218.57</v>
      </c>
      <c r="D260" s="37">
        <f t="shared" si="6"/>
        <v>-3.919245317413389E-3</v>
      </c>
      <c r="F260" s="34">
        <v>171404.48</v>
      </c>
      <c r="G260" s="35">
        <f t="shared" si="7"/>
        <v>9.0657537509450936E-3</v>
      </c>
    </row>
    <row r="261" spans="2:7" x14ac:dyDescent="0.35">
      <c r="B261" s="24">
        <v>46012</v>
      </c>
      <c r="C261" s="33">
        <v>222.01</v>
      </c>
      <c r="D261" s="37">
        <f t="shared" si="6"/>
        <v>1.5738664958594439E-2</v>
      </c>
      <c r="F261" s="34">
        <v>172400.73</v>
      </c>
      <c r="G261" s="35">
        <f t="shared" si="7"/>
        <v>5.8122751517346583E-3</v>
      </c>
    </row>
    <row r="262" spans="2:7" x14ac:dyDescent="0.35">
      <c r="B262" s="24">
        <v>46019</v>
      </c>
      <c r="C262" s="33">
        <v>246.19</v>
      </c>
      <c r="D262" s="37">
        <f t="shared" si="6"/>
        <v>0.10891401288230274</v>
      </c>
      <c r="F262" s="34">
        <v>179034.94</v>
      </c>
      <c r="G262" s="35">
        <f>F262/F261 -1</f>
        <v>3.8481333576719789E-2</v>
      </c>
    </row>
    <row r="263" spans="2:7" x14ac:dyDescent="0.35">
      <c r="B263" s="24">
        <v>46026</v>
      </c>
      <c r="C263" s="33">
        <v>245.89</v>
      </c>
      <c r="D263" s="37">
        <f t="shared" si="6"/>
        <v>-1.2185710223810986E-3</v>
      </c>
      <c r="F263" s="34">
        <v>184409.67</v>
      </c>
      <c r="G263" s="35">
        <f>F263/F262 -1</f>
        <v>3.0020564700946162E-2</v>
      </c>
    </row>
    <row r="264" spans="2:7" x14ac:dyDescent="0.35">
      <c r="B264" s="24">
        <v>46033</v>
      </c>
      <c r="C264" s="33">
        <v>242.16</v>
      </c>
      <c r="D264" s="37">
        <f t="shared" ref="D264:D266" si="8">C264/C263 -1</f>
        <v>-1.5169384684208365E-2</v>
      </c>
      <c r="F264" s="34">
        <v>185098.83</v>
      </c>
      <c r="G264" s="35">
        <f>F264/F263 -1</f>
        <v>3.7371142196609419E-3</v>
      </c>
    </row>
    <row r="265" spans="2:7" x14ac:dyDescent="0.35">
      <c r="B265" s="24">
        <v>46040</v>
      </c>
      <c r="C265" s="33">
        <v>255.08</v>
      </c>
      <c r="D265" s="37">
        <f t="shared" si="8"/>
        <v>5.3353154938883485E-2</v>
      </c>
      <c r="F265" s="34">
        <v>189166.83</v>
      </c>
      <c r="G265" s="35">
        <f>F265/F264 -1</f>
        <v>2.1977448479820305E-2</v>
      </c>
    </row>
    <row r="266" spans="2:7" x14ac:dyDescent="0.35">
      <c r="B266" s="24">
        <v>46047</v>
      </c>
      <c r="C266" s="33">
        <v>244.31</v>
      </c>
      <c r="D266" s="37">
        <f t="shared" si="8"/>
        <v>-4.2222047984945887E-2</v>
      </c>
      <c r="F266" s="34">
        <v>184003.64</v>
      </c>
      <c r="G266" s="35">
        <f>F266/F265 -1</f>
        <v>-2.7294372908823306E-2</v>
      </c>
    </row>
  </sheetData>
  <mergeCells count="1">
    <mergeCell ref="I6: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CFB4-AE04-4BDB-BD55-4E0EDFEE122B}">
  <dimension ref="B2:V267"/>
  <sheetViews>
    <sheetView showGridLines="0" topLeftCell="F17" workbookViewId="0">
      <selection activeCell="O46" sqref="O46"/>
    </sheetView>
  </sheetViews>
  <sheetFormatPr defaultRowHeight="14.5" x14ac:dyDescent="0.35"/>
  <cols>
    <col min="1" max="1" width="1.81640625" customWidth="1"/>
    <col min="2" max="2" width="10.453125" bestFit="1" customWidth="1"/>
    <col min="3" max="3" width="11.1796875" bestFit="1" customWidth="1"/>
    <col min="4" max="4" width="12.453125" bestFit="1" customWidth="1"/>
    <col min="6" max="6" width="11.1796875" bestFit="1" customWidth="1"/>
    <col min="7" max="7" width="7.26953125" bestFit="1" customWidth="1"/>
    <col min="9" max="9" width="18" bestFit="1" customWidth="1"/>
    <col min="11" max="11" width="4.36328125" bestFit="1" customWidth="1"/>
    <col min="14" max="14" width="30.08984375" bestFit="1" customWidth="1"/>
    <col min="16" max="16" width="20" bestFit="1" customWidth="1"/>
    <col min="18" max="18" width="9.7265625" bestFit="1" customWidth="1"/>
  </cols>
  <sheetData>
    <row r="2" spans="2:16" ht="18.5" x14ac:dyDescent="0.45">
      <c r="B2" s="26" t="s">
        <v>38</v>
      </c>
      <c r="C2" s="2"/>
      <c r="D2" s="2"/>
    </row>
    <row r="4" spans="2:16" ht="18.5" x14ac:dyDescent="0.45">
      <c r="B4" s="26" t="s">
        <v>68</v>
      </c>
      <c r="C4" s="2"/>
      <c r="D4" s="2"/>
    </row>
    <row r="6" spans="2:16" ht="15" thickBot="1" x14ac:dyDescent="0.4">
      <c r="B6" s="31" t="s">
        <v>34</v>
      </c>
      <c r="C6" s="32" t="s">
        <v>35</v>
      </c>
      <c r="D6" s="32" t="s">
        <v>36</v>
      </c>
      <c r="F6" s="32" t="s">
        <v>35</v>
      </c>
      <c r="G6" s="32" t="s">
        <v>36</v>
      </c>
      <c r="I6" s="53" t="s">
        <v>94</v>
      </c>
      <c r="J6" s="53"/>
      <c r="K6" s="53"/>
      <c r="N6" t="s">
        <v>69</v>
      </c>
      <c r="P6">
        <f>SLOPE(D8:D266,G8:G266)</f>
        <v>0.67421376910824626</v>
      </c>
    </row>
    <row r="7" spans="2:16" x14ac:dyDescent="0.35">
      <c r="B7" s="23">
        <v>44227</v>
      </c>
      <c r="C7">
        <v>30</v>
      </c>
      <c r="F7" s="34">
        <v>46905.79</v>
      </c>
      <c r="I7" t="s">
        <v>95</v>
      </c>
      <c r="K7" s="7">
        <f>P8</f>
        <v>0.67421376910824582</v>
      </c>
      <c r="N7" t="s">
        <v>70</v>
      </c>
      <c r="P7">
        <f>_xlfn.COVARIANCE.S(D8:D266,G8:G266)/_xlfn.VAR.S(G8:G266)</f>
        <v>0.67421376910824582</v>
      </c>
    </row>
    <row r="8" spans="2:16" x14ac:dyDescent="0.35">
      <c r="B8" s="23">
        <v>44234</v>
      </c>
      <c r="C8">
        <v>28.55</v>
      </c>
      <c r="D8" s="6">
        <f>C8/C7 -1</f>
        <v>-4.8333333333333339E-2</v>
      </c>
      <c r="F8" s="34">
        <v>45808.36</v>
      </c>
      <c r="G8" s="6">
        <f>F8/F7 -1</f>
        <v>-2.3396471949411746E-2</v>
      </c>
      <c r="I8" t="s">
        <v>96</v>
      </c>
      <c r="K8" s="39">
        <v>0.67</v>
      </c>
      <c r="N8" t="s">
        <v>41</v>
      </c>
      <c r="P8">
        <f>O28</f>
        <v>0.67421376910824582</v>
      </c>
    </row>
    <row r="9" spans="2:16" x14ac:dyDescent="0.35">
      <c r="B9" s="23">
        <v>44241</v>
      </c>
      <c r="C9">
        <v>28.8</v>
      </c>
      <c r="D9" s="6">
        <f t="shared" ref="D9:D72" si="0">C9/C8 -1</f>
        <v>8.7565674255691839E-3</v>
      </c>
      <c r="F9" s="34">
        <v>46227.65</v>
      </c>
      <c r="G9" s="6">
        <f t="shared" ref="G9:G72" si="1">F9/F8 -1</f>
        <v>9.1531327469482893E-3</v>
      </c>
    </row>
    <row r="10" spans="2:16" x14ac:dyDescent="0.35">
      <c r="B10" s="23">
        <v>44248</v>
      </c>
      <c r="C10">
        <v>28.4</v>
      </c>
      <c r="D10" s="6">
        <f t="shared" si="0"/>
        <v>-1.3888888888888951E-2</v>
      </c>
      <c r="F10" s="34">
        <v>45865.02</v>
      </c>
      <c r="G10" s="6">
        <f t="shared" si="1"/>
        <v>-7.8444394209959967E-3</v>
      </c>
      <c r="I10" t="s">
        <v>97</v>
      </c>
      <c r="K10" s="7">
        <v>1</v>
      </c>
    </row>
    <row r="11" spans="2:16" x14ac:dyDescent="0.35">
      <c r="B11" s="23">
        <v>44255</v>
      </c>
      <c r="C11">
        <v>29</v>
      </c>
      <c r="D11" s="6">
        <f t="shared" si="0"/>
        <v>2.1126760563380254E-2</v>
      </c>
      <c r="F11" s="34">
        <v>45837.35</v>
      </c>
      <c r="G11" s="6">
        <f t="shared" si="1"/>
        <v>-6.0329200772180069E-4</v>
      </c>
      <c r="I11" t="s">
        <v>98</v>
      </c>
      <c r="K11" s="39">
        <v>0.33</v>
      </c>
      <c r="N11" t="s">
        <v>42</v>
      </c>
    </row>
    <row r="12" spans="2:16" ht="15" thickBot="1" x14ac:dyDescent="0.4">
      <c r="B12" s="23">
        <v>44262</v>
      </c>
      <c r="C12">
        <v>28.75</v>
      </c>
      <c r="D12" s="6">
        <f t="shared" si="0"/>
        <v>-8.6206896551723755E-3</v>
      </c>
      <c r="F12" s="34">
        <v>43788.08</v>
      </c>
      <c r="G12" s="6">
        <f t="shared" si="1"/>
        <v>-4.4707427458175464E-2</v>
      </c>
    </row>
    <row r="13" spans="2:16" ht="15" thickBot="1" x14ac:dyDescent="0.4">
      <c r="B13" s="23">
        <v>44269</v>
      </c>
      <c r="C13">
        <v>28.9</v>
      </c>
      <c r="D13" s="6">
        <f t="shared" si="0"/>
        <v>5.2173913043478404E-3</v>
      </c>
      <c r="F13" s="34">
        <v>44901.31</v>
      </c>
      <c r="G13" s="6">
        <f t="shared" si="1"/>
        <v>2.5423128851504773E-2</v>
      </c>
      <c r="I13" s="59" t="s">
        <v>99</v>
      </c>
      <c r="J13" s="59"/>
      <c r="K13" s="60">
        <f>(K7*K8) + (K10*K11)</f>
        <v>0.7817232253025248</v>
      </c>
      <c r="N13" s="29" t="s">
        <v>43</v>
      </c>
      <c r="O13" s="29"/>
    </row>
    <row r="14" spans="2:16" x14ac:dyDescent="0.35">
      <c r="B14" s="23">
        <v>44276</v>
      </c>
      <c r="C14">
        <v>29.5</v>
      </c>
      <c r="D14" s="6">
        <f t="shared" si="0"/>
        <v>2.076124567474058E-2</v>
      </c>
      <c r="F14" s="34">
        <v>45521.63</v>
      </c>
      <c r="G14" s="6">
        <f t="shared" si="1"/>
        <v>1.3815187129284201E-2</v>
      </c>
      <c r="N14" t="s">
        <v>44</v>
      </c>
      <c r="O14">
        <v>0.44170104015968409</v>
      </c>
    </row>
    <row r="15" spans="2:16" x14ac:dyDescent="0.35">
      <c r="B15" s="23">
        <v>44283</v>
      </c>
      <c r="C15">
        <v>29.25</v>
      </c>
      <c r="D15" s="6">
        <f t="shared" si="0"/>
        <v>-8.4745762711864181E-3</v>
      </c>
      <c r="F15" s="34">
        <v>44300.95</v>
      </c>
      <c r="G15" s="6">
        <f t="shared" si="1"/>
        <v>-2.6815384247005247E-2</v>
      </c>
      <c r="N15" t="s">
        <v>45</v>
      </c>
      <c r="O15">
        <v>0.19509980887814685</v>
      </c>
    </row>
    <row r="16" spans="2:16" x14ac:dyDescent="0.35">
      <c r="B16" s="23">
        <v>44290</v>
      </c>
      <c r="C16">
        <v>29</v>
      </c>
      <c r="D16" s="6">
        <f t="shared" si="0"/>
        <v>-8.5470085470085166E-3</v>
      </c>
      <c r="F16" s="34">
        <v>45186.48</v>
      </c>
      <c r="G16" s="6">
        <f t="shared" si="1"/>
        <v>1.9988961861991728E-2</v>
      </c>
      <c r="N16" t="s">
        <v>46</v>
      </c>
      <c r="O16">
        <v>0.19196790151969606</v>
      </c>
    </row>
    <row r="17" spans="2:22" x14ac:dyDescent="0.35">
      <c r="B17" s="23">
        <v>44297</v>
      </c>
      <c r="C17">
        <v>27.09</v>
      </c>
      <c r="D17" s="6">
        <f t="shared" si="0"/>
        <v>-6.5862068965517273E-2</v>
      </c>
      <c r="F17" s="34">
        <v>45305.63</v>
      </c>
      <c r="G17" s="6">
        <f t="shared" si="1"/>
        <v>2.6368506686069715E-3</v>
      </c>
      <c r="N17" t="s">
        <v>47</v>
      </c>
      <c r="O17">
        <v>3.3689644416248457E-2</v>
      </c>
    </row>
    <row r="18" spans="2:22" ht="15" thickBot="1" x14ac:dyDescent="0.4">
      <c r="B18" s="23">
        <v>44304</v>
      </c>
      <c r="C18">
        <v>26.2</v>
      </c>
      <c r="D18" s="6">
        <f t="shared" si="0"/>
        <v>-3.2853451458102589E-2</v>
      </c>
      <c r="F18" s="34">
        <v>44706.76</v>
      </c>
      <c r="G18" s="6">
        <f t="shared" si="1"/>
        <v>-1.3218445477968133E-2</v>
      </c>
      <c r="N18" s="27" t="s">
        <v>48</v>
      </c>
      <c r="O18" s="27">
        <v>259</v>
      </c>
    </row>
    <row r="19" spans="2:22" x14ac:dyDescent="0.35">
      <c r="B19" s="23">
        <v>44311</v>
      </c>
      <c r="C19">
        <v>26.2</v>
      </c>
      <c r="D19" s="6">
        <f t="shared" si="0"/>
        <v>0</v>
      </c>
      <c r="F19" s="34">
        <v>44262.35</v>
      </c>
      <c r="G19" s="6">
        <f t="shared" si="1"/>
        <v>-9.9405548512127018E-3</v>
      </c>
    </row>
    <row r="20" spans="2:22" ht="15" thickBot="1" x14ac:dyDescent="0.4">
      <c r="B20" s="23">
        <v>44318</v>
      </c>
      <c r="C20">
        <v>26.19</v>
      </c>
      <c r="D20" s="6">
        <f t="shared" si="0"/>
        <v>-3.8167938931288337E-4</v>
      </c>
      <c r="F20" s="34">
        <v>45174.67</v>
      </c>
      <c r="G20" s="6">
        <f t="shared" si="1"/>
        <v>2.0611648500362012E-2</v>
      </c>
      <c r="N20" t="s">
        <v>49</v>
      </c>
    </row>
    <row r="21" spans="2:22" x14ac:dyDescent="0.35">
      <c r="B21" s="23">
        <v>44332</v>
      </c>
      <c r="C21">
        <v>27.3</v>
      </c>
      <c r="D21" s="6">
        <f t="shared" si="0"/>
        <v>4.2382588774341423E-2</v>
      </c>
      <c r="F21" s="34">
        <v>45914.98</v>
      </c>
      <c r="G21" s="6">
        <f t="shared" si="1"/>
        <v>1.6387723474239113E-2</v>
      </c>
      <c r="N21" s="28"/>
      <c r="O21" s="28" t="s">
        <v>54</v>
      </c>
      <c r="P21" s="28" t="s">
        <v>55</v>
      </c>
      <c r="Q21" s="28" t="s">
        <v>56</v>
      </c>
      <c r="R21" s="28" t="s">
        <v>57</v>
      </c>
      <c r="S21" s="28" t="s">
        <v>58</v>
      </c>
    </row>
    <row r="22" spans="2:22" x14ac:dyDescent="0.35">
      <c r="B22" s="23">
        <v>44339</v>
      </c>
      <c r="C22">
        <v>29.25</v>
      </c>
      <c r="D22" s="6">
        <f t="shared" si="0"/>
        <v>7.1428571428571397E-2</v>
      </c>
      <c r="F22" s="34">
        <v>47126.29</v>
      </c>
      <c r="G22" s="6">
        <f t="shared" si="1"/>
        <v>2.6381586140296731E-2</v>
      </c>
      <c r="N22" t="s">
        <v>50</v>
      </c>
      <c r="O22">
        <v>1</v>
      </c>
      <c r="P22">
        <v>7.0703480155303311E-2</v>
      </c>
      <c r="Q22">
        <v>7.0703480155303311E-2</v>
      </c>
      <c r="R22">
        <v>62.294246460295575</v>
      </c>
      <c r="S22">
        <v>8.5626782893186834E-14</v>
      </c>
    </row>
    <row r="23" spans="2:22" x14ac:dyDescent="0.35">
      <c r="B23" s="23">
        <v>44346</v>
      </c>
      <c r="C23">
        <v>28.75</v>
      </c>
      <c r="D23" s="6">
        <f t="shared" si="0"/>
        <v>-1.7094017094017144E-2</v>
      </c>
      <c r="F23" s="34">
        <v>48211.7</v>
      </c>
      <c r="G23" s="6">
        <f t="shared" si="1"/>
        <v>2.3031942467781619E-2</v>
      </c>
      <c r="N23" t="s">
        <v>51</v>
      </c>
      <c r="O23">
        <v>257</v>
      </c>
      <c r="P23">
        <v>0.29169298020956802</v>
      </c>
      <c r="Q23">
        <v>1.1349921408932608E-3</v>
      </c>
    </row>
    <row r="24" spans="2:22" ht="15" thickBot="1" x14ac:dyDescent="0.4">
      <c r="B24" s="23">
        <v>44353</v>
      </c>
      <c r="C24">
        <v>29.1</v>
      </c>
      <c r="D24" s="6">
        <f t="shared" si="0"/>
        <v>1.2173913043478368E-2</v>
      </c>
      <c r="F24" s="34">
        <v>48304.72</v>
      </c>
      <c r="G24" s="6">
        <f t="shared" si="1"/>
        <v>1.9294071770961096E-3</v>
      </c>
      <c r="N24" s="27" t="s">
        <v>52</v>
      </c>
      <c r="O24" s="27">
        <v>258</v>
      </c>
      <c r="P24" s="27">
        <v>0.36239646036487133</v>
      </c>
      <c r="Q24" s="27"/>
      <c r="R24" s="27"/>
      <c r="S24" s="27"/>
    </row>
    <row r="25" spans="2:22" ht="15" thickBot="1" x14ac:dyDescent="0.4">
      <c r="B25" s="23">
        <v>44360</v>
      </c>
      <c r="C25">
        <v>28.51</v>
      </c>
      <c r="D25" s="6">
        <f t="shared" si="0"/>
        <v>-2.0274914089347118E-2</v>
      </c>
      <c r="F25" s="34">
        <v>48238.67</v>
      </c>
      <c r="G25" s="6">
        <f t="shared" si="1"/>
        <v>-1.3673612019695636E-3</v>
      </c>
    </row>
    <row r="26" spans="2:22" x14ac:dyDescent="0.35">
      <c r="B26" s="23">
        <v>44367</v>
      </c>
      <c r="C26">
        <v>28.87</v>
      </c>
      <c r="D26" s="6">
        <f t="shared" si="0"/>
        <v>1.2627148368993257E-2</v>
      </c>
      <c r="F26" s="34">
        <v>47703.94</v>
      </c>
      <c r="G26" s="6">
        <f t="shared" si="1"/>
        <v>-1.1085090032540212E-2</v>
      </c>
      <c r="N26" s="28"/>
      <c r="O26" s="28" t="s">
        <v>59</v>
      </c>
      <c r="P26" s="28" t="s">
        <v>47</v>
      </c>
      <c r="Q26" s="28" t="s">
        <v>60</v>
      </c>
      <c r="R26" s="28" t="s">
        <v>61</v>
      </c>
      <c r="S26" s="28" t="s">
        <v>62</v>
      </c>
      <c r="T26" s="28" t="s">
        <v>63</v>
      </c>
      <c r="U26" s="28" t="s">
        <v>64</v>
      </c>
      <c r="V26" s="28" t="s">
        <v>65</v>
      </c>
    </row>
    <row r="27" spans="2:22" x14ac:dyDescent="0.35">
      <c r="B27" s="23">
        <v>44374</v>
      </c>
      <c r="C27">
        <v>28.75</v>
      </c>
      <c r="D27" s="6">
        <f t="shared" si="0"/>
        <v>-4.1565639071701188E-3</v>
      </c>
      <c r="F27" s="34">
        <v>47686.18</v>
      </c>
      <c r="G27" s="6">
        <f t="shared" si="1"/>
        <v>-3.7229629250756791E-4</v>
      </c>
      <c r="N27" t="s">
        <v>53</v>
      </c>
      <c r="O27">
        <v>3.6583437972511385E-3</v>
      </c>
      <c r="P27">
        <v>2.1471235582370945E-3</v>
      </c>
      <c r="Q27">
        <v>1.7038347808240892</v>
      </c>
      <c r="R27">
        <v>8.9620687921914285E-2</v>
      </c>
      <c r="S27">
        <v>-5.6985242267602399E-4</v>
      </c>
      <c r="T27">
        <v>7.8865400171783014E-3</v>
      </c>
      <c r="U27">
        <v>-5.6985242267602399E-4</v>
      </c>
      <c r="V27">
        <v>7.8865400171783014E-3</v>
      </c>
    </row>
    <row r="28" spans="2:22" ht="15" thickBot="1" x14ac:dyDescent="0.4">
      <c r="B28" s="23">
        <v>44381</v>
      </c>
      <c r="C28">
        <v>28.6</v>
      </c>
      <c r="D28" s="6">
        <f t="shared" si="0"/>
        <v>-5.2173913043477294E-3</v>
      </c>
      <c r="F28" s="34">
        <v>47563.45</v>
      </c>
      <c r="G28" s="6">
        <f t="shared" si="1"/>
        <v>-2.5737016468923013E-3</v>
      </c>
      <c r="N28" s="27" t="s">
        <v>66</v>
      </c>
      <c r="O28" s="36">
        <v>0.67421376910824582</v>
      </c>
      <c r="P28" s="27">
        <v>8.5422769820748728E-2</v>
      </c>
      <c r="Q28" s="27">
        <v>7.8926704264333392</v>
      </c>
      <c r="R28" s="27">
        <v>8.5626782893190823E-14</v>
      </c>
      <c r="S28" s="27">
        <v>0.50599604774508877</v>
      </c>
      <c r="T28" s="27">
        <v>0.84243149047140287</v>
      </c>
      <c r="U28" s="27">
        <v>0.50599604774508877</v>
      </c>
      <c r="V28" s="27">
        <v>0.84243149047140287</v>
      </c>
    </row>
    <row r="29" spans="2:22" x14ac:dyDescent="0.35">
      <c r="B29" s="23">
        <v>44388</v>
      </c>
      <c r="C29">
        <v>28.25</v>
      </c>
      <c r="D29" s="6">
        <f t="shared" si="0"/>
        <v>-1.2237762237762295E-2</v>
      </c>
      <c r="F29" s="34">
        <v>47834.33</v>
      </c>
      <c r="G29" s="6">
        <f t="shared" si="1"/>
        <v>5.6951293482707666E-3</v>
      </c>
    </row>
    <row r="30" spans="2:22" x14ac:dyDescent="0.35">
      <c r="B30" s="23">
        <v>44395</v>
      </c>
      <c r="C30">
        <v>28.58</v>
      </c>
      <c r="D30" s="6">
        <f t="shared" si="0"/>
        <v>1.1681415929203576E-2</v>
      </c>
      <c r="F30" s="34">
        <v>47793.07</v>
      </c>
      <c r="G30" s="6">
        <f t="shared" si="1"/>
        <v>-8.6256042469923244E-4</v>
      </c>
    </row>
    <row r="31" spans="2:22" ht="15" thickBot="1" x14ac:dyDescent="0.4">
      <c r="B31" s="23">
        <v>44402</v>
      </c>
      <c r="C31">
        <v>28.2</v>
      </c>
      <c r="D31" s="6">
        <f t="shared" si="0"/>
        <v>-1.3296011196640922E-2</v>
      </c>
      <c r="F31" s="34">
        <v>47055.29</v>
      </c>
      <c r="G31" s="6">
        <f t="shared" si="1"/>
        <v>-1.5436966070603964E-2</v>
      </c>
      <c r="N31" s="55" t="s">
        <v>75</v>
      </c>
      <c r="O31" s="55"/>
      <c r="P31" s="55"/>
    </row>
    <row r="32" spans="2:22" x14ac:dyDescent="0.35">
      <c r="B32" s="23">
        <v>44409</v>
      </c>
      <c r="C32">
        <v>28.4</v>
      </c>
      <c r="D32" s="6">
        <f t="shared" si="0"/>
        <v>7.0921985815601829E-3</v>
      </c>
      <c r="F32" s="34">
        <v>47489.95</v>
      </c>
      <c r="G32" s="6">
        <f t="shared" si="1"/>
        <v>9.2372185996514311E-3</v>
      </c>
    </row>
    <row r="33" spans="2:18" x14ac:dyDescent="0.35">
      <c r="B33" s="23">
        <v>44416</v>
      </c>
      <c r="C33">
        <v>28.15</v>
      </c>
      <c r="D33" s="6">
        <f t="shared" si="0"/>
        <v>-8.8028169014084945E-3</v>
      </c>
      <c r="F33" s="34">
        <v>47169.84</v>
      </c>
      <c r="G33" s="6">
        <f t="shared" si="1"/>
        <v>-6.7405840604169986E-3</v>
      </c>
      <c r="N33" t="s">
        <v>76</v>
      </c>
      <c r="P33" s="40">
        <v>3175575</v>
      </c>
    </row>
    <row r="34" spans="2:18" x14ac:dyDescent="0.35">
      <c r="B34" s="23">
        <v>44423</v>
      </c>
      <c r="C34">
        <v>28.14</v>
      </c>
      <c r="D34" s="6">
        <f t="shared" si="0"/>
        <v>-3.5523978685603197E-4</v>
      </c>
      <c r="F34" s="34">
        <v>47599.82</v>
      </c>
      <c r="G34" s="6">
        <f t="shared" si="1"/>
        <v>9.1155704577332575E-3</v>
      </c>
      <c r="N34" t="s">
        <v>77</v>
      </c>
      <c r="P34" s="40">
        <v>26394701</v>
      </c>
    </row>
    <row r="35" spans="2:18" ht="15" thickBot="1" x14ac:dyDescent="0.4">
      <c r="B35" s="23">
        <v>44430</v>
      </c>
      <c r="C35">
        <v>29.78</v>
      </c>
      <c r="D35" s="6">
        <f t="shared" si="0"/>
        <v>5.8280028429282149E-2</v>
      </c>
      <c r="F35" s="34">
        <v>47136.53</v>
      </c>
      <c r="G35" s="6">
        <f t="shared" si="1"/>
        <v>-9.7330199988151511E-3</v>
      </c>
      <c r="N35" s="27" t="s">
        <v>78</v>
      </c>
      <c r="O35" s="27"/>
      <c r="P35" s="57">
        <v>37927100</v>
      </c>
    </row>
    <row r="36" spans="2:18" ht="15" thickBot="1" x14ac:dyDescent="0.4">
      <c r="B36" s="23">
        <v>44437</v>
      </c>
      <c r="C36">
        <v>29.52</v>
      </c>
      <c r="D36" s="6">
        <f t="shared" si="0"/>
        <v>-8.7306917394225358E-3</v>
      </c>
      <c r="F36" s="34">
        <v>46957.47</v>
      </c>
      <c r="G36" s="6">
        <f t="shared" si="1"/>
        <v>-3.7987522628415427E-3</v>
      </c>
      <c r="P36" s="58">
        <f>SUM(P33:P35)</f>
        <v>67497376</v>
      </c>
    </row>
    <row r="37" spans="2:18" ht="15" thickTop="1" x14ac:dyDescent="0.35">
      <c r="B37" s="23">
        <v>44444</v>
      </c>
      <c r="C37">
        <v>30.5</v>
      </c>
      <c r="D37" s="6">
        <f t="shared" si="0"/>
        <v>3.3197831978319714E-2</v>
      </c>
      <c r="F37" s="34">
        <v>47198.29</v>
      </c>
      <c r="G37" s="6">
        <f t="shared" si="1"/>
        <v>5.1284705074612358E-3</v>
      </c>
      <c r="R37" s="40"/>
    </row>
    <row r="38" spans="2:18" x14ac:dyDescent="0.35">
      <c r="B38" s="23">
        <v>44451</v>
      </c>
      <c r="C38">
        <v>29.5</v>
      </c>
      <c r="D38" s="6">
        <f t="shared" si="0"/>
        <v>-3.2786885245901676E-2</v>
      </c>
      <c r="F38" s="34">
        <v>46636.08</v>
      </c>
      <c r="G38" s="6">
        <f t="shared" si="1"/>
        <v>-1.1911660358881582E-2</v>
      </c>
    </row>
    <row r="39" spans="2:18" x14ac:dyDescent="0.35">
      <c r="B39" s="23">
        <v>44458</v>
      </c>
      <c r="C39">
        <v>28.56</v>
      </c>
      <c r="D39" s="6">
        <f t="shared" si="0"/>
        <v>-3.186440677966107E-2</v>
      </c>
      <c r="F39" s="34">
        <v>45073.52</v>
      </c>
      <c r="G39" s="6">
        <f t="shared" si="1"/>
        <v>-3.3505388960650362E-2</v>
      </c>
    </row>
    <row r="40" spans="2:18" x14ac:dyDescent="0.35">
      <c r="B40" s="23">
        <v>44465</v>
      </c>
      <c r="C40">
        <v>30.2</v>
      </c>
      <c r="D40" s="6">
        <f t="shared" si="0"/>
        <v>5.7422969187675088E-2</v>
      </c>
      <c r="F40" s="34">
        <v>44871.7</v>
      </c>
      <c r="G40" s="6">
        <f t="shared" si="1"/>
        <v>-4.4775735287592155E-3</v>
      </c>
    </row>
    <row r="41" spans="2:18" x14ac:dyDescent="0.35">
      <c r="B41" s="23">
        <v>44472</v>
      </c>
      <c r="C41">
        <v>29.85</v>
      </c>
      <c r="D41" s="6">
        <f t="shared" si="0"/>
        <v>-1.1589403973509826E-2</v>
      </c>
      <c r="F41" s="34">
        <v>44477.23</v>
      </c>
      <c r="G41" s="6">
        <f t="shared" si="1"/>
        <v>-8.7910643011072098E-3</v>
      </c>
    </row>
    <row r="42" spans="2:18" x14ac:dyDescent="0.35">
      <c r="B42" s="23">
        <v>44479</v>
      </c>
      <c r="C42">
        <v>29.6</v>
      </c>
      <c r="D42" s="6">
        <f t="shared" si="0"/>
        <v>-8.3752093802345051E-3</v>
      </c>
      <c r="F42" s="34">
        <v>44821.53</v>
      </c>
      <c r="G42" s="6">
        <f t="shared" si="1"/>
        <v>7.7410396285919614E-3</v>
      </c>
    </row>
    <row r="43" spans="2:18" x14ac:dyDescent="0.35">
      <c r="B43" s="23">
        <v>44486</v>
      </c>
      <c r="C43">
        <v>30</v>
      </c>
      <c r="D43" s="6">
        <f t="shared" si="0"/>
        <v>1.3513513513513375E-2</v>
      </c>
      <c r="F43" s="34">
        <v>45578.36</v>
      </c>
      <c r="G43" s="6">
        <f t="shared" si="1"/>
        <v>1.6885411988390331E-2</v>
      </c>
    </row>
    <row r="44" spans="2:18" x14ac:dyDescent="0.35">
      <c r="B44" s="23">
        <v>44493</v>
      </c>
      <c r="C44">
        <v>30.25</v>
      </c>
      <c r="D44" s="6">
        <f t="shared" si="0"/>
        <v>8.3333333333333037E-3</v>
      </c>
      <c r="F44" s="34">
        <v>46218.93</v>
      </c>
      <c r="G44" s="6">
        <f t="shared" si="1"/>
        <v>1.4054257327380748E-2</v>
      </c>
    </row>
    <row r="45" spans="2:18" x14ac:dyDescent="0.35">
      <c r="B45" s="23">
        <v>44500</v>
      </c>
      <c r="C45">
        <v>30.75</v>
      </c>
      <c r="D45" s="6">
        <f t="shared" si="0"/>
        <v>1.6528925619834656E-2</v>
      </c>
      <c r="F45" s="34">
        <v>47295.8</v>
      </c>
      <c r="G45" s="6">
        <f t="shared" si="1"/>
        <v>2.3299327786255652E-2</v>
      </c>
    </row>
    <row r="46" spans="2:18" x14ac:dyDescent="0.35">
      <c r="B46" s="23">
        <v>44507</v>
      </c>
      <c r="C46">
        <v>30.3</v>
      </c>
      <c r="D46" s="6">
        <f t="shared" si="0"/>
        <v>-1.4634146341463428E-2</v>
      </c>
      <c r="F46" s="34">
        <v>45749.15</v>
      </c>
      <c r="G46" s="6">
        <f t="shared" si="1"/>
        <v>-3.2701635240338534E-2</v>
      </c>
    </row>
    <row r="47" spans="2:18" x14ac:dyDescent="0.35">
      <c r="B47" s="23">
        <v>44514</v>
      </c>
      <c r="C47">
        <v>33.35</v>
      </c>
      <c r="D47" s="6">
        <f t="shared" si="0"/>
        <v>0.1006600660066006</v>
      </c>
      <c r="F47" s="34">
        <v>46489.41</v>
      </c>
      <c r="G47" s="6">
        <f t="shared" si="1"/>
        <v>1.6180847075847327E-2</v>
      </c>
    </row>
    <row r="48" spans="2:18" x14ac:dyDescent="0.35">
      <c r="B48" s="23">
        <v>44521</v>
      </c>
      <c r="C48">
        <v>34</v>
      </c>
      <c r="D48" s="6">
        <f t="shared" si="0"/>
        <v>1.9490254872563728E-2</v>
      </c>
      <c r="F48" s="34">
        <v>44114.16</v>
      </c>
      <c r="G48" s="6">
        <f t="shared" si="1"/>
        <v>-5.109228101625729E-2</v>
      </c>
    </row>
    <row r="49" spans="2:7" x14ac:dyDescent="0.35">
      <c r="B49" s="23">
        <v>44528</v>
      </c>
      <c r="C49">
        <v>36.15</v>
      </c>
      <c r="D49" s="6">
        <f t="shared" si="0"/>
        <v>6.3235294117647056E-2</v>
      </c>
      <c r="F49" s="34">
        <v>43232.83</v>
      </c>
      <c r="G49" s="6">
        <f t="shared" si="1"/>
        <v>-1.9978392425470726E-2</v>
      </c>
    </row>
    <row r="50" spans="2:7" x14ac:dyDescent="0.35">
      <c r="B50" s="23">
        <v>44535</v>
      </c>
      <c r="C50">
        <v>35</v>
      </c>
      <c r="D50" s="6">
        <f t="shared" si="0"/>
        <v>-3.18118948824343E-2</v>
      </c>
      <c r="F50" s="34">
        <v>43395.78</v>
      </c>
      <c r="G50" s="6">
        <f t="shared" si="1"/>
        <v>3.769126379189025E-3</v>
      </c>
    </row>
    <row r="51" spans="2:7" x14ac:dyDescent="0.35">
      <c r="B51" s="23">
        <v>44542</v>
      </c>
      <c r="C51">
        <v>35.5</v>
      </c>
      <c r="D51" s="6">
        <f t="shared" si="0"/>
        <v>1.4285714285714235E-2</v>
      </c>
      <c r="F51" s="34">
        <v>43900.68</v>
      </c>
      <c r="G51" s="6">
        <f t="shared" si="1"/>
        <v>1.1634771860305371E-2</v>
      </c>
    </row>
    <row r="52" spans="2:7" x14ac:dyDescent="0.35">
      <c r="B52" s="23">
        <v>44549</v>
      </c>
      <c r="C52">
        <v>36.51</v>
      </c>
      <c r="D52" s="6">
        <f t="shared" si="0"/>
        <v>2.8450704225352119E-2</v>
      </c>
      <c r="F52" s="34">
        <v>44118.39</v>
      </c>
      <c r="G52" s="6">
        <f t="shared" si="1"/>
        <v>4.9591486965576692E-3</v>
      </c>
    </row>
    <row r="53" spans="2:7" x14ac:dyDescent="0.35">
      <c r="B53" s="23">
        <v>44556</v>
      </c>
      <c r="C53">
        <v>35.99</v>
      </c>
      <c r="D53" s="6">
        <f t="shared" si="0"/>
        <v>-1.4242673240208004E-2</v>
      </c>
      <c r="F53" s="34">
        <v>44596.07</v>
      </c>
      <c r="G53" s="6">
        <f t="shared" si="1"/>
        <v>1.0827231002763282E-2</v>
      </c>
    </row>
    <row r="54" spans="2:7" x14ac:dyDescent="0.35">
      <c r="B54" s="23">
        <v>44563</v>
      </c>
      <c r="C54">
        <v>35.880000000000003</v>
      </c>
      <c r="D54" s="6">
        <f t="shared" si="0"/>
        <v>-3.0564045568213238E-3</v>
      </c>
      <c r="F54" s="34">
        <v>45345.65</v>
      </c>
      <c r="G54" s="6">
        <f t="shared" si="1"/>
        <v>1.6808207539363851E-2</v>
      </c>
    </row>
    <row r="55" spans="2:7" x14ac:dyDescent="0.35">
      <c r="B55" s="23">
        <v>44570</v>
      </c>
      <c r="C55">
        <v>35</v>
      </c>
      <c r="D55" s="6">
        <f t="shared" si="0"/>
        <v>-2.4526198439241975E-2</v>
      </c>
      <c r="F55" s="34">
        <v>45763.45</v>
      </c>
      <c r="G55" s="6">
        <f t="shared" si="1"/>
        <v>9.2136731968777141E-3</v>
      </c>
    </row>
    <row r="56" spans="2:7" x14ac:dyDescent="0.35">
      <c r="B56" s="23">
        <v>44577</v>
      </c>
      <c r="C56">
        <v>35.15</v>
      </c>
      <c r="D56" s="6">
        <f t="shared" si="0"/>
        <v>4.2857142857142261E-3</v>
      </c>
      <c r="F56" s="34">
        <v>45018.28</v>
      </c>
      <c r="G56" s="6">
        <f t="shared" si="1"/>
        <v>-1.6283081804365662E-2</v>
      </c>
    </row>
    <row r="57" spans="2:7" x14ac:dyDescent="0.35">
      <c r="B57" s="23">
        <v>44584</v>
      </c>
      <c r="C57">
        <v>35.6</v>
      </c>
      <c r="D57" s="6">
        <f t="shared" si="0"/>
        <v>1.2802275960170695E-2</v>
      </c>
      <c r="F57" s="34">
        <v>45077.91</v>
      </c>
      <c r="G57" s="6">
        <f t="shared" si="1"/>
        <v>1.3245730401074685E-3</v>
      </c>
    </row>
    <row r="58" spans="2:7" x14ac:dyDescent="0.35">
      <c r="B58" s="23">
        <v>44591</v>
      </c>
      <c r="C58">
        <v>35.72</v>
      </c>
      <c r="D58" s="6">
        <f t="shared" si="0"/>
        <v>3.370786516853963E-3</v>
      </c>
      <c r="F58" s="34">
        <v>45909.65</v>
      </c>
      <c r="G58" s="6">
        <f t="shared" si="1"/>
        <v>1.8451165992389607E-2</v>
      </c>
    </row>
    <row r="59" spans="2:7" x14ac:dyDescent="0.35">
      <c r="B59" s="23">
        <v>44598</v>
      </c>
      <c r="C59">
        <v>35.840000000000003</v>
      </c>
      <c r="D59" s="6">
        <f t="shared" si="0"/>
        <v>3.3594624860022737E-3</v>
      </c>
      <c r="F59" s="34">
        <v>46079.37</v>
      </c>
      <c r="G59" s="6">
        <f t="shared" si="1"/>
        <v>3.6968262663732432E-3</v>
      </c>
    </row>
    <row r="60" spans="2:7" x14ac:dyDescent="0.35">
      <c r="B60" s="23">
        <v>44605</v>
      </c>
      <c r="C60">
        <v>35.5</v>
      </c>
      <c r="D60" s="6">
        <f t="shared" si="0"/>
        <v>-9.4866071428572063E-3</v>
      </c>
      <c r="F60" s="34">
        <v>45675.87</v>
      </c>
      <c r="G60" s="6">
        <f t="shared" si="1"/>
        <v>-8.7566301362193011E-3</v>
      </c>
    </row>
    <row r="61" spans="2:7" x14ac:dyDescent="0.35">
      <c r="B61" s="23">
        <v>44612</v>
      </c>
      <c r="C61">
        <v>35.5</v>
      </c>
      <c r="D61" s="6">
        <f t="shared" si="0"/>
        <v>0</v>
      </c>
      <c r="F61" s="34">
        <v>43984.24</v>
      </c>
      <c r="G61" s="6">
        <f t="shared" si="1"/>
        <v>-3.7035528825176245E-2</v>
      </c>
    </row>
    <row r="62" spans="2:7" x14ac:dyDescent="0.35">
      <c r="B62" s="23">
        <v>44619</v>
      </c>
      <c r="C62">
        <v>39.5</v>
      </c>
      <c r="D62" s="6">
        <f t="shared" si="0"/>
        <v>0.11267605633802824</v>
      </c>
      <c r="F62" s="34">
        <v>44551.35</v>
      </c>
      <c r="G62" s="6">
        <f t="shared" si="1"/>
        <v>1.2893481847134458E-2</v>
      </c>
    </row>
    <row r="63" spans="2:7" x14ac:dyDescent="0.35">
      <c r="B63" s="23">
        <v>44626</v>
      </c>
      <c r="C63">
        <v>38.4</v>
      </c>
      <c r="D63" s="6">
        <f t="shared" si="0"/>
        <v>-2.7848101265822822E-2</v>
      </c>
      <c r="F63" s="34">
        <v>43653.33</v>
      </c>
      <c r="G63" s="6">
        <f t="shared" si="1"/>
        <v>-2.0156964940456268E-2</v>
      </c>
    </row>
    <row r="64" spans="2:7" x14ac:dyDescent="0.35">
      <c r="B64" s="23">
        <v>44633</v>
      </c>
      <c r="C64">
        <v>38</v>
      </c>
      <c r="D64" s="6">
        <f t="shared" si="0"/>
        <v>-1.041666666666663E-2</v>
      </c>
      <c r="F64" s="34">
        <v>43029.97</v>
      </c>
      <c r="G64" s="6">
        <f t="shared" si="1"/>
        <v>-1.4279781175914885E-2</v>
      </c>
    </row>
    <row r="65" spans="2:7" x14ac:dyDescent="0.35">
      <c r="B65" s="23">
        <v>44640</v>
      </c>
      <c r="C65">
        <v>40.5</v>
      </c>
      <c r="D65" s="6">
        <f t="shared" si="0"/>
        <v>6.578947368421062E-2</v>
      </c>
      <c r="F65" s="34">
        <v>43551.14</v>
      </c>
      <c r="G65" s="6">
        <f t="shared" si="1"/>
        <v>1.2111790921536691E-2</v>
      </c>
    </row>
    <row r="66" spans="2:7" x14ac:dyDescent="0.35">
      <c r="B66" s="23">
        <v>44647</v>
      </c>
      <c r="C66">
        <v>41.6</v>
      </c>
      <c r="D66" s="6">
        <f t="shared" si="0"/>
        <v>2.716049382716057E-2</v>
      </c>
      <c r="F66" s="34">
        <v>45152.11</v>
      </c>
      <c r="G66" s="6">
        <f t="shared" si="1"/>
        <v>3.6760690994541267E-2</v>
      </c>
    </row>
    <row r="67" spans="2:7" x14ac:dyDescent="0.35">
      <c r="B67" s="23">
        <v>44654</v>
      </c>
      <c r="C67">
        <v>41.8</v>
      </c>
      <c r="D67" s="6">
        <f t="shared" si="0"/>
        <v>4.8076923076922906E-3</v>
      </c>
      <c r="F67" s="34">
        <v>44444.58</v>
      </c>
      <c r="G67" s="6">
        <f t="shared" si="1"/>
        <v>-1.5669921073455884E-2</v>
      </c>
    </row>
    <row r="68" spans="2:7" x14ac:dyDescent="0.35">
      <c r="B68" s="23">
        <v>44661</v>
      </c>
      <c r="C68">
        <v>41.4</v>
      </c>
      <c r="D68" s="6">
        <f t="shared" si="0"/>
        <v>-9.5693779904305609E-3</v>
      </c>
      <c r="F68" s="34">
        <v>46601.54</v>
      </c>
      <c r="G68" s="6">
        <f t="shared" si="1"/>
        <v>4.8531451979071383E-2</v>
      </c>
    </row>
    <row r="69" spans="2:7" x14ac:dyDescent="0.35">
      <c r="B69" s="23">
        <v>44668</v>
      </c>
      <c r="C69">
        <v>39.15</v>
      </c>
      <c r="D69" s="6">
        <f t="shared" si="0"/>
        <v>-5.4347826086956541E-2</v>
      </c>
      <c r="F69" s="34">
        <v>45553.02</v>
      </c>
      <c r="G69" s="6">
        <f t="shared" si="1"/>
        <v>-2.2499685632706656E-2</v>
      </c>
    </row>
    <row r="70" spans="2:7" x14ac:dyDescent="0.35">
      <c r="B70" s="23">
        <v>44675</v>
      </c>
      <c r="C70">
        <v>39.28</v>
      </c>
      <c r="D70" s="6">
        <f t="shared" si="0"/>
        <v>3.3205619412517429E-3</v>
      </c>
      <c r="F70" s="34">
        <v>45249.41</v>
      </c>
      <c r="G70" s="6">
        <f t="shared" si="1"/>
        <v>-6.6649807191706545E-3</v>
      </c>
    </row>
    <row r="71" spans="2:7" x14ac:dyDescent="0.35">
      <c r="B71" s="23">
        <v>44682</v>
      </c>
      <c r="C71">
        <v>39.39</v>
      </c>
      <c r="D71" s="6">
        <f t="shared" si="0"/>
        <v>2.8004073319756184E-3</v>
      </c>
      <c r="F71" s="34">
        <v>44840.81</v>
      </c>
      <c r="G71" s="6">
        <f t="shared" si="1"/>
        <v>-9.0299519927443672E-3</v>
      </c>
    </row>
    <row r="72" spans="2:7" x14ac:dyDescent="0.35">
      <c r="B72" s="23">
        <v>44689</v>
      </c>
      <c r="C72">
        <v>37.5</v>
      </c>
      <c r="D72" s="6">
        <f t="shared" si="0"/>
        <v>-4.7981721249047982E-2</v>
      </c>
      <c r="F72" s="34">
        <v>43486.46</v>
      </c>
      <c r="G72" s="6">
        <f t="shared" si="1"/>
        <v>-3.0203513272842319E-2</v>
      </c>
    </row>
    <row r="73" spans="2:7" x14ac:dyDescent="0.35">
      <c r="B73" s="23">
        <v>44696</v>
      </c>
      <c r="C73">
        <v>37.450000000000003</v>
      </c>
      <c r="D73" s="6">
        <f t="shared" ref="D73:D136" si="2">C73/C72 -1</f>
        <v>-1.3333333333332975E-3</v>
      </c>
      <c r="F73" s="34">
        <v>43100.7</v>
      </c>
      <c r="G73" s="6">
        <f t="shared" ref="G73:G136" si="3">F73/F72 -1</f>
        <v>-8.8708071431889968E-3</v>
      </c>
    </row>
    <row r="74" spans="2:7" x14ac:dyDescent="0.35">
      <c r="B74" s="23">
        <v>44703</v>
      </c>
      <c r="C74">
        <v>36.68</v>
      </c>
      <c r="D74" s="6">
        <f t="shared" si="2"/>
        <v>-2.0560747663551537E-2</v>
      </c>
      <c r="F74" s="34">
        <v>42861.45</v>
      </c>
      <c r="G74" s="6">
        <f t="shared" si="3"/>
        <v>-5.550953928822544E-3</v>
      </c>
    </row>
    <row r="75" spans="2:7" x14ac:dyDescent="0.35">
      <c r="B75" s="23">
        <v>44710</v>
      </c>
      <c r="C75">
        <v>35.909999999999997</v>
      </c>
      <c r="D75" s="6">
        <f t="shared" si="2"/>
        <v>-2.0992366412213803E-2</v>
      </c>
      <c r="F75" s="34">
        <v>41314.879999999997</v>
      </c>
      <c r="G75" s="6">
        <f t="shared" si="3"/>
        <v>-3.6083006991130762E-2</v>
      </c>
    </row>
    <row r="76" spans="2:7" x14ac:dyDescent="0.35">
      <c r="B76" s="23">
        <v>44717</v>
      </c>
      <c r="C76">
        <v>36.9</v>
      </c>
      <c r="D76" s="6">
        <f t="shared" si="2"/>
        <v>2.7568922305764465E-2</v>
      </c>
      <c r="F76" s="34">
        <v>42014.73</v>
      </c>
      <c r="G76" s="6">
        <f t="shared" si="3"/>
        <v>1.6939417468960549E-2</v>
      </c>
    </row>
    <row r="77" spans="2:7" x14ac:dyDescent="0.35">
      <c r="B77" s="23">
        <v>44724</v>
      </c>
      <c r="C77">
        <v>36.53</v>
      </c>
      <c r="D77" s="6">
        <f t="shared" si="2"/>
        <v>-1.002710027100262E-2</v>
      </c>
      <c r="F77" s="34">
        <v>42140.76</v>
      </c>
      <c r="G77" s="6">
        <f t="shared" si="3"/>
        <v>2.9996622613068791E-3</v>
      </c>
    </row>
    <row r="78" spans="2:7" x14ac:dyDescent="0.35">
      <c r="B78" s="23">
        <v>44731</v>
      </c>
      <c r="C78">
        <v>36.700000000000003</v>
      </c>
      <c r="D78" s="6">
        <f t="shared" si="2"/>
        <v>4.6537092800438273E-3</v>
      </c>
      <c r="F78" s="34">
        <v>41051.79</v>
      </c>
      <c r="G78" s="6">
        <f t="shared" si="3"/>
        <v>-2.5841252032474005E-2</v>
      </c>
    </row>
    <row r="79" spans="2:7" x14ac:dyDescent="0.35">
      <c r="B79" s="23">
        <v>44738</v>
      </c>
      <c r="C79">
        <v>37.5</v>
      </c>
      <c r="D79" s="6">
        <f t="shared" si="2"/>
        <v>2.1798365122615682E-2</v>
      </c>
      <c r="F79" s="34">
        <v>41630.35</v>
      </c>
      <c r="G79" s="6">
        <f t="shared" si="3"/>
        <v>1.4093417120179197E-2</v>
      </c>
    </row>
    <row r="80" spans="2:7" x14ac:dyDescent="0.35">
      <c r="B80" s="23">
        <v>44745</v>
      </c>
      <c r="C80">
        <v>38</v>
      </c>
      <c r="D80" s="6">
        <f t="shared" si="2"/>
        <v>1.3333333333333419E-2</v>
      </c>
      <c r="F80" s="34">
        <v>41344.01</v>
      </c>
      <c r="G80" s="6">
        <f t="shared" si="3"/>
        <v>-6.8781549998978564E-3</v>
      </c>
    </row>
    <row r="81" spans="2:7" x14ac:dyDescent="0.35">
      <c r="B81" s="23">
        <v>44752</v>
      </c>
      <c r="C81">
        <v>37.880000000000003</v>
      </c>
      <c r="D81" s="6">
        <f t="shared" si="2"/>
        <v>-3.1578947368420263E-3</v>
      </c>
      <c r="F81" s="34">
        <v>42074.91</v>
      </c>
      <c r="G81" s="6">
        <f t="shared" si="3"/>
        <v>1.7678498046028945E-2</v>
      </c>
    </row>
    <row r="82" spans="2:7" x14ac:dyDescent="0.35">
      <c r="B82" s="23">
        <v>44759</v>
      </c>
      <c r="C82">
        <v>36.36</v>
      </c>
      <c r="D82" s="6">
        <f t="shared" si="2"/>
        <v>-4.0126715945089875E-2</v>
      </c>
      <c r="F82" s="34">
        <v>40077.300000000003</v>
      </c>
      <c r="G82" s="6">
        <f t="shared" si="3"/>
        <v>-4.7477463409903886E-2</v>
      </c>
    </row>
    <row r="83" spans="2:7" x14ac:dyDescent="0.35">
      <c r="B83" s="23">
        <v>44766</v>
      </c>
      <c r="C83">
        <v>35.950000000000003</v>
      </c>
      <c r="D83" s="6">
        <f t="shared" si="2"/>
        <v>-1.12761276127612E-2</v>
      </c>
      <c r="F83" s="34">
        <v>40150.36</v>
      </c>
      <c r="G83" s="6">
        <f t="shared" si="3"/>
        <v>1.8229770967603809E-3</v>
      </c>
    </row>
    <row r="84" spans="2:7" x14ac:dyDescent="0.35">
      <c r="B84" s="23">
        <v>44773</v>
      </c>
      <c r="C84">
        <v>36.6</v>
      </c>
      <c r="D84" s="6">
        <f t="shared" si="2"/>
        <v>1.8080667593880273E-2</v>
      </c>
      <c r="F84" s="34">
        <v>42096.24</v>
      </c>
      <c r="G84" s="6">
        <f t="shared" si="3"/>
        <v>4.8464820738842729E-2</v>
      </c>
    </row>
    <row r="85" spans="2:7" x14ac:dyDescent="0.35">
      <c r="B85" s="23">
        <v>44780</v>
      </c>
      <c r="C85">
        <v>36.61</v>
      </c>
      <c r="D85" s="6">
        <f t="shared" si="2"/>
        <v>2.7322404371576958E-4</v>
      </c>
      <c r="F85" s="34">
        <v>42857.57</v>
      </c>
      <c r="G85" s="6">
        <f t="shared" si="3"/>
        <v>1.8085463214766895E-2</v>
      </c>
    </row>
    <row r="86" spans="2:7" x14ac:dyDescent="0.35">
      <c r="B86" s="23">
        <v>44787</v>
      </c>
      <c r="C86">
        <v>35.85</v>
      </c>
      <c r="D86" s="6">
        <f t="shared" si="2"/>
        <v>-2.0759355367385934E-2</v>
      </c>
      <c r="F86" s="34">
        <v>43270.65</v>
      </c>
      <c r="G86" s="6">
        <f t="shared" si="3"/>
        <v>9.6384372702418286E-3</v>
      </c>
    </row>
    <row r="87" spans="2:7" x14ac:dyDescent="0.35">
      <c r="B87" s="23">
        <v>44794</v>
      </c>
      <c r="C87">
        <v>38</v>
      </c>
      <c r="D87" s="6">
        <f t="shared" si="2"/>
        <v>5.9972105997210479E-2</v>
      </c>
      <c r="F87" s="34">
        <v>42591.51</v>
      </c>
      <c r="G87" s="6">
        <f t="shared" si="3"/>
        <v>-1.5695165198581496E-2</v>
      </c>
    </row>
    <row r="88" spans="2:7" x14ac:dyDescent="0.35">
      <c r="B88" s="23">
        <v>44801</v>
      </c>
      <c r="C88">
        <v>36.979999999999997</v>
      </c>
      <c r="D88" s="6">
        <f t="shared" si="2"/>
        <v>-2.6842105263158E-2</v>
      </c>
      <c r="F88" s="34">
        <v>42309.11</v>
      </c>
      <c r="G88" s="6">
        <f t="shared" si="3"/>
        <v>-6.6304293977837991E-3</v>
      </c>
    </row>
    <row r="89" spans="2:7" x14ac:dyDescent="0.35">
      <c r="B89" s="23">
        <v>44808</v>
      </c>
      <c r="C89">
        <v>37</v>
      </c>
      <c r="D89" s="6">
        <f t="shared" si="2"/>
        <v>5.4083288263928608E-4</v>
      </c>
      <c r="F89" s="34">
        <v>41948.160000000003</v>
      </c>
      <c r="G89" s="6">
        <f t="shared" si="3"/>
        <v>-8.531259579792505E-3</v>
      </c>
    </row>
    <row r="90" spans="2:7" x14ac:dyDescent="0.35">
      <c r="B90" s="23">
        <v>44815</v>
      </c>
      <c r="C90">
        <v>38</v>
      </c>
      <c r="D90" s="6">
        <f t="shared" si="2"/>
        <v>2.7027027027026973E-2</v>
      </c>
      <c r="F90" s="34">
        <v>41679.49</v>
      </c>
      <c r="G90" s="6">
        <f t="shared" si="3"/>
        <v>-6.4048101275480107E-3</v>
      </c>
    </row>
    <row r="91" spans="2:7" x14ac:dyDescent="0.35">
      <c r="B91" s="23">
        <v>44822</v>
      </c>
      <c r="C91">
        <v>37.51</v>
      </c>
      <c r="D91" s="6">
        <f t="shared" si="2"/>
        <v>-1.2894736842105292E-2</v>
      </c>
      <c r="F91" s="34">
        <v>40620.21</v>
      </c>
      <c r="G91" s="6">
        <f t="shared" si="3"/>
        <v>-2.5414898310895828E-2</v>
      </c>
    </row>
    <row r="92" spans="2:7" x14ac:dyDescent="0.35">
      <c r="B92" s="23">
        <v>44829</v>
      </c>
      <c r="C92">
        <v>38.44</v>
      </c>
      <c r="D92" s="6">
        <f t="shared" si="2"/>
        <v>2.4793388429751984E-2</v>
      </c>
      <c r="F92" s="34">
        <v>41128.67</v>
      </c>
      <c r="G92" s="6">
        <f t="shared" si="3"/>
        <v>1.2517414360979418E-2</v>
      </c>
    </row>
    <row r="93" spans="2:7" x14ac:dyDescent="0.35">
      <c r="B93" s="23">
        <v>44836</v>
      </c>
      <c r="C93">
        <v>37.25</v>
      </c>
      <c r="D93" s="6">
        <f t="shared" si="2"/>
        <v>-3.0957336108220601E-2</v>
      </c>
      <c r="F93" s="34">
        <v>42085.25</v>
      </c>
      <c r="G93" s="6">
        <f t="shared" si="3"/>
        <v>2.3258228384239077E-2</v>
      </c>
    </row>
    <row r="94" spans="2:7" x14ac:dyDescent="0.35">
      <c r="B94" s="23">
        <v>44843</v>
      </c>
      <c r="C94">
        <v>38.450000000000003</v>
      </c>
      <c r="D94" s="6">
        <f t="shared" si="2"/>
        <v>3.2214765100671228E-2</v>
      </c>
      <c r="F94" s="34">
        <v>41948.5</v>
      </c>
      <c r="G94" s="6">
        <f t="shared" si="3"/>
        <v>-3.2493569599800765E-3</v>
      </c>
    </row>
    <row r="95" spans="2:7" x14ac:dyDescent="0.35">
      <c r="B95" s="23">
        <v>44850</v>
      </c>
      <c r="C95">
        <v>36.950000000000003</v>
      </c>
      <c r="D95" s="6">
        <f t="shared" si="2"/>
        <v>-3.9011703511053319E-2</v>
      </c>
      <c r="F95" s="34">
        <v>42213.48</v>
      </c>
      <c r="G95" s="6">
        <f t="shared" si="3"/>
        <v>6.3167932107226488E-3</v>
      </c>
    </row>
    <row r="96" spans="2:7" x14ac:dyDescent="0.35">
      <c r="B96" s="23">
        <v>44857</v>
      </c>
      <c r="C96">
        <v>35.5</v>
      </c>
      <c r="D96" s="6">
        <f t="shared" si="2"/>
        <v>-3.9242219215155694E-2</v>
      </c>
      <c r="F96" s="34">
        <v>41140.33</v>
      </c>
      <c r="G96" s="6">
        <f t="shared" si="3"/>
        <v>-2.5421974212976539E-2</v>
      </c>
    </row>
    <row r="97" spans="2:7" x14ac:dyDescent="0.35">
      <c r="B97" s="23">
        <v>44864</v>
      </c>
      <c r="C97">
        <v>36.17</v>
      </c>
      <c r="D97" s="6">
        <f t="shared" si="2"/>
        <v>1.8873239436619782E-2</v>
      </c>
      <c r="F97" s="34">
        <v>41856.31</v>
      </c>
      <c r="G97" s="6">
        <f t="shared" si="3"/>
        <v>1.7403360643922783E-2</v>
      </c>
    </row>
    <row r="98" spans="2:7" x14ac:dyDescent="0.35">
      <c r="B98" s="23">
        <v>44871</v>
      </c>
      <c r="C98">
        <v>37.35</v>
      </c>
      <c r="D98" s="6">
        <f t="shared" si="2"/>
        <v>3.2623721316007659E-2</v>
      </c>
      <c r="F98" s="34">
        <v>43092.95</v>
      </c>
      <c r="G98" s="6">
        <f t="shared" si="3"/>
        <v>2.9544888213987264E-2</v>
      </c>
    </row>
    <row r="99" spans="2:7" x14ac:dyDescent="0.35">
      <c r="B99" s="23">
        <v>44878</v>
      </c>
      <c r="C99">
        <v>37.04</v>
      </c>
      <c r="D99" s="6">
        <f t="shared" si="2"/>
        <v>-8.2998661311914912E-3</v>
      </c>
      <c r="F99" s="34">
        <v>42730.239999999998</v>
      </c>
      <c r="G99" s="6">
        <f t="shared" si="3"/>
        <v>-8.4169220255285726E-3</v>
      </c>
    </row>
    <row r="100" spans="2:7" x14ac:dyDescent="0.35">
      <c r="B100" s="23">
        <v>44885</v>
      </c>
      <c r="C100">
        <v>36.450000000000003</v>
      </c>
      <c r="D100" s="6">
        <f t="shared" si="2"/>
        <v>-1.5928725701943702E-2</v>
      </c>
      <c r="F100" s="34">
        <v>42936.73</v>
      </c>
      <c r="G100" s="6">
        <f t="shared" si="3"/>
        <v>4.8324090854627855E-3</v>
      </c>
    </row>
    <row r="101" spans="2:7" x14ac:dyDescent="0.35">
      <c r="B101" s="23">
        <v>44892</v>
      </c>
      <c r="C101">
        <v>35.9</v>
      </c>
      <c r="D101" s="6">
        <f t="shared" si="2"/>
        <v>-1.5089163237311465E-2</v>
      </c>
      <c r="F101" s="34">
        <v>42150.1</v>
      </c>
      <c r="G101" s="6">
        <f t="shared" si="3"/>
        <v>-1.8320677890468207E-2</v>
      </c>
    </row>
    <row r="102" spans="2:7" x14ac:dyDescent="0.35">
      <c r="B102" s="23">
        <v>44899</v>
      </c>
      <c r="C102">
        <v>35</v>
      </c>
      <c r="D102" s="6">
        <f t="shared" si="2"/>
        <v>-2.5069637883008311E-2</v>
      </c>
      <c r="F102" s="34">
        <v>41698.28</v>
      </c>
      <c r="G102" s="6">
        <f t="shared" si="3"/>
        <v>-1.0719310274471483E-2</v>
      </c>
    </row>
    <row r="103" spans="2:7" x14ac:dyDescent="0.35">
      <c r="B103" s="23">
        <v>44906</v>
      </c>
      <c r="C103">
        <v>35.9</v>
      </c>
      <c r="D103" s="6">
        <f t="shared" si="2"/>
        <v>2.5714285714285579E-2</v>
      </c>
      <c r="F103" s="34">
        <v>41301.480000000003</v>
      </c>
      <c r="G103" s="6">
        <f t="shared" si="3"/>
        <v>-9.5159800356272584E-3</v>
      </c>
    </row>
    <row r="104" spans="2:7" x14ac:dyDescent="0.35">
      <c r="B104" s="23">
        <v>44913</v>
      </c>
      <c r="C104">
        <v>34</v>
      </c>
      <c r="D104" s="6">
        <f t="shared" si="2"/>
        <v>-5.2924791086350953E-2</v>
      </c>
      <c r="F104" s="34">
        <v>39669.199999999997</v>
      </c>
      <c r="G104" s="6">
        <f t="shared" si="3"/>
        <v>-3.9521101907244116E-2</v>
      </c>
    </row>
    <row r="105" spans="2:7" x14ac:dyDescent="0.35">
      <c r="B105" s="23">
        <v>44920</v>
      </c>
      <c r="C105">
        <v>33.799999999999997</v>
      </c>
      <c r="D105" s="6">
        <f t="shared" si="2"/>
        <v>-5.8823529411765607E-3</v>
      </c>
      <c r="F105" s="34">
        <v>40420.449999999997</v>
      </c>
      <c r="G105" s="6">
        <f t="shared" si="3"/>
        <v>1.8937866153086125E-2</v>
      </c>
    </row>
    <row r="106" spans="2:7" x14ac:dyDescent="0.35">
      <c r="B106" s="23">
        <v>44927</v>
      </c>
      <c r="C106">
        <v>32.9</v>
      </c>
      <c r="D106" s="6">
        <f t="shared" si="2"/>
        <v>-2.6627218934911157E-2</v>
      </c>
      <c r="F106" s="34">
        <v>41007.519999999997</v>
      </c>
      <c r="G106" s="6">
        <f t="shared" si="3"/>
        <v>1.4524083724946069E-2</v>
      </c>
    </row>
    <row r="107" spans="2:7" x14ac:dyDescent="0.35">
      <c r="B107" s="23">
        <v>44934</v>
      </c>
      <c r="C107">
        <v>30.68</v>
      </c>
      <c r="D107" s="6">
        <f t="shared" si="2"/>
        <v>-6.7477203647416384E-2</v>
      </c>
      <c r="F107" s="34">
        <v>40323.449999999997</v>
      </c>
      <c r="G107" s="6">
        <f t="shared" si="3"/>
        <v>-1.6681574501457241E-2</v>
      </c>
    </row>
    <row r="108" spans="2:7" x14ac:dyDescent="0.35">
      <c r="B108" s="23">
        <v>44941</v>
      </c>
      <c r="C108">
        <v>29.57</v>
      </c>
      <c r="D108" s="6">
        <f t="shared" si="2"/>
        <v>-3.617992177314211E-2</v>
      </c>
      <c r="F108" s="34">
        <v>38407.980000000003</v>
      </c>
      <c r="G108" s="6">
        <f t="shared" si="3"/>
        <v>-4.7502631843257315E-2</v>
      </c>
    </row>
    <row r="109" spans="2:7" x14ac:dyDescent="0.35">
      <c r="B109" s="23">
        <v>44948</v>
      </c>
      <c r="C109">
        <v>30.5</v>
      </c>
      <c r="D109" s="6">
        <f t="shared" si="2"/>
        <v>3.1450794724382725E-2</v>
      </c>
      <c r="F109" s="34">
        <v>40450.53</v>
      </c>
      <c r="G109" s="6">
        <f t="shared" si="3"/>
        <v>5.3180354707537125E-2</v>
      </c>
    </row>
    <row r="110" spans="2:7" x14ac:dyDescent="0.35">
      <c r="B110" s="23">
        <v>44955</v>
      </c>
      <c r="C110">
        <v>30.55</v>
      </c>
      <c r="D110" s="6">
        <f t="shared" si="2"/>
        <v>1.6393442622950616E-3</v>
      </c>
      <c r="F110" s="34">
        <v>40471.160000000003</v>
      </c>
      <c r="G110" s="6">
        <f t="shared" si="3"/>
        <v>5.1000567854120327E-4</v>
      </c>
    </row>
    <row r="111" spans="2:7" x14ac:dyDescent="0.35">
      <c r="B111" s="23">
        <v>44962</v>
      </c>
      <c r="C111">
        <v>30.5</v>
      </c>
      <c r="D111" s="6">
        <f t="shared" si="2"/>
        <v>-1.6366612111292644E-3</v>
      </c>
      <c r="F111" s="34">
        <v>41741.78</v>
      </c>
      <c r="G111" s="6">
        <f t="shared" si="3"/>
        <v>3.1395690165539891E-2</v>
      </c>
    </row>
    <row r="112" spans="2:7" x14ac:dyDescent="0.35">
      <c r="B112" s="23">
        <v>44969</v>
      </c>
      <c r="C112">
        <v>30.8</v>
      </c>
      <c r="D112" s="6">
        <f t="shared" si="2"/>
        <v>9.8360655737705915E-3</v>
      </c>
      <c r="F112" s="34">
        <v>41118.61</v>
      </c>
      <c r="G112" s="6">
        <f t="shared" si="3"/>
        <v>-1.4929166892259982E-2</v>
      </c>
    </row>
    <row r="113" spans="2:7" x14ac:dyDescent="0.35">
      <c r="B113" s="23">
        <v>44976</v>
      </c>
      <c r="C113">
        <v>29.9</v>
      </c>
      <c r="D113" s="6">
        <f t="shared" si="2"/>
        <v>-2.9220779220779258E-2</v>
      </c>
      <c r="F113" s="34">
        <v>40707.760000000002</v>
      </c>
      <c r="G113" s="6">
        <f t="shared" si="3"/>
        <v>-9.9918260855607066E-3</v>
      </c>
    </row>
    <row r="114" spans="2:7" x14ac:dyDescent="0.35">
      <c r="B114" s="23">
        <v>44983</v>
      </c>
      <c r="C114">
        <v>29.55</v>
      </c>
      <c r="D114" s="6">
        <f t="shared" si="2"/>
        <v>-1.1705685618728978E-2</v>
      </c>
      <c r="F114" s="34">
        <v>41337</v>
      </c>
      <c r="G114" s="6">
        <f t="shared" si="3"/>
        <v>1.5457495082018768E-2</v>
      </c>
    </row>
    <row r="115" spans="2:7" x14ac:dyDescent="0.35">
      <c r="B115" s="23">
        <v>44990</v>
      </c>
      <c r="C115">
        <v>29.96</v>
      </c>
      <c r="D115" s="6">
        <f t="shared" si="2"/>
        <v>1.387478849407775E-2</v>
      </c>
      <c r="F115" s="34">
        <v>41793.870000000003</v>
      </c>
      <c r="G115" s="6">
        <f t="shared" si="3"/>
        <v>1.1052326003338386E-2</v>
      </c>
    </row>
    <row r="116" spans="2:7" x14ac:dyDescent="0.35">
      <c r="B116" s="23">
        <v>44997</v>
      </c>
      <c r="C116">
        <v>29.93</v>
      </c>
      <c r="D116" s="6">
        <f t="shared" si="2"/>
        <v>-1.0013351134846582E-3</v>
      </c>
      <c r="F116" s="34">
        <v>41329.949999999997</v>
      </c>
      <c r="G116" s="6">
        <f t="shared" si="3"/>
        <v>-1.1100192444490231E-2</v>
      </c>
    </row>
    <row r="117" spans="2:7" x14ac:dyDescent="0.35">
      <c r="B117" s="23">
        <v>45004</v>
      </c>
      <c r="C117">
        <v>29.18</v>
      </c>
      <c r="D117" s="6">
        <f t="shared" si="2"/>
        <v>-2.5058469762779811E-2</v>
      </c>
      <c r="F117" s="34">
        <v>39942.050000000003</v>
      </c>
      <c r="G117" s="6">
        <f t="shared" si="3"/>
        <v>-3.3580974571708722E-2</v>
      </c>
    </row>
    <row r="118" spans="2:7" x14ac:dyDescent="0.35">
      <c r="B118" s="23">
        <v>45011</v>
      </c>
      <c r="C118">
        <v>30</v>
      </c>
      <c r="D118" s="6">
        <f t="shared" si="2"/>
        <v>2.8101439342015144E-2</v>
      </c>
      <c r="F118" s="34">
        <v>40000.83</v>
      </c>
      <c r="G118" s="6">
        <f t="shared" si="3"/>
        <v>1.471632026899039E-3</v>
      </c>
    </row>
    <row r="119" spans="2:7" x14ac:dyDescent="0.35">
      <c r="B119" s="23">
        <v>45018</v>
      </c>
      <c r="C119">
        <v>31.95</v>
      </c>
      <c r="D119" s="6">
        <f t="shared" si="2"/>
        <v>6.4999999999999947E-2</v>
      </c>
      <c r="F119" s="34">
        <v>40049.65</v>
      </c>
      <c r="G119" s="6">
        <f t="shared" si="3"/>
        <v>1.220474675150518E-3</v>
      </c>
    </row>
    <row r="120" spans="2:7" x14ac:dyDescent="0.35">
      <c r="B120" s="23">
        <v>45025</v>
      </c>
      <c r="C120">
        <v>31.8</v>
      </c>
      <c r="D120" s="6">
        <f t="shared" si="2"/>
        <v>-4.6948356807511304E-3</v>
      </c>
      <c r="F120" s="34">
        <v>40205.54</v>
      </c>
      <c r="G120" s="6">
        <f t="shared" si="3"/>
        <v>3.8924185354927143E-3</v>
      </c>
    </row>
    <row r="121" spans="2:7" x14ac:dyDescent="0.35">
      <c r="B121" s="23">
        <v>45032</v>
      </c>
      <c r="C121">
        <v>28.65</v>
      </c>
      <c r="D121" s="6">
        <f t="shared" si="2"/>
        <v>-9.9056603773584939E-2</v>
      </c>
      <c r="F121" s="34">
        <v>41007.82</v>
      </c>
      <c r="G121" s="6">
        <f t="shared" si="3"/>
        <v>1.9954463986803672E-2</v>
      </c>
    </row>
    <row r="122" spans="2:7" x14ac:dyDescent="0.35">
      <c r="B122" s="23">
        <v>45039</v>
      </c>
      <c r="C122">
        <v>28.54</v>
      </c>
      <c r="D122" s="6">
        <f t="shared" si="2"/>
        <v>-3.8394415357766443E-3</v>
      </c>
      <c r="F122" s="34">
        <v>41580.85</v>
      </c>
      <c r="G122" s="6">
        <f t="shared" si="3"/>
        <v>1.397367624028778E-2</v>
      </c>
    </row>
    <row r="123" spans="2:7" x14ac:dyDescent="0.35">
      <c r="B123" s="23">
        <v>45046</v>
      </c>
      <c r="C123">
        <v>28.6</v>
      </c>
      <c r="D123" s="6">
        <f t="shared" si="2"/>
        <v>2.1023125437982237E-3</v>
      </c>
      <c r="F123" s="34">
        <v>42241.98</v>
      </c>
      <c r="G123" s="6">
        <f t="shared" si="3"/>
        <v>1.5899867366828913E-2</v>
      </c>
    </row>
    <row r="124" spans="2:7" x14ac:dyDescent="0.35">
      <c r="B124" s="23">
        <v>45053</v>
      </c>
      <c r="C124">
        <v>28.25</v>
      </c>
      <c r="D124" s="6">
        <f t="shared" si="2"/>
        <v>-1.2237762237762295E-2</v>
      </c>
      <c r="F124" s="34">
        <v>41487.58</v>
      </c>
      <c r="G124" s="6">
        <f t="shared" si="3"/>
        <v>-1.7859011343691833E-2</v>
      </c>
    </row>
    <row r="125" spans="2:7" x14ac:dyDescent="0.35">
      <c r="B125" s="23">
        <v>45060</v>
      </c>
      <c r="C125">
        <v>28.4</v>
      </c>
      <c r="D125" s="6">
        <f t="shared" si="2"/>
        <v>5.3097345132742113E-3</v>
      </c>
      <c r="F125" s="34">
        <v>41614.870000000003</v>
      </c>
      <c r="G125" s="6">
        <f t="shared" si="3"/>
        <v>3.0681471418676498E-3</v>
      </c>
    </row>
    <row r="126" spans="2:7" x14ac:dyDescent="0.35">
      <c r="B126" s="23">
        <v>45067</v>
      </c>
      <c r="C126">
        <v>27.69</v>
      </c>
      <c r="D126" s="6">
        <f t="shared" si="2"/>
        <v>-2.4999999999999911E-2</v>
      </c>
      <c r="F126" s="34">
        <v>41002.6</v>
      </c>
      <c r="G126" s="6">
        <f t="shared" si="3"/>
        <v>-1.4712769738317144E-2</v>
      </c>
    </row>
    <row r="127" spans="2:7" x14ac:dyDescent="0.35">
      <c r="B127" s="23">
        <v>45074</v>
      </c>
      <c r="C127">
        <v>27.8</v>
      </c>
      <c r="D127" s="6">
        <f t="shared" si="2"/>
        <v>3.9725532683279052E-3</v>
      </c>
      <c r="F127" s="34">
        <v>41356.239999999998</v>
      </c>
      <c r="G127" s="6">
        <f t="shared" si="3"/>
        <v>8.6248189139224163E-3</v>
      </c>
    </row>
    <row r="128" spans="2:7" x14ac:dyDescent="0.35">
      <c r="B128" s="23">
        <v>45081</v>
      </c>
      <c r="C128">
        <v>28</v>
      </c>
      <c r="D128" s="6">
        <f t="shared" si="2"/>
        <v>7.194244604316502E-3</v>
      </c>
      <c r="F128" s="34">
        <v>41904.86</v>
      </c>
      <c r="G128" s="6">
        <f t="shared" si="3"/>
        <v>1.3265712743711688E-2</v>
      </c>
    </row>
    <row r="129" spans="2:7" x14ac:dyDescent="0.35">
      <c r="B129" s="23">
        <v>45088</v>
      </c>
      <c r="C129">
        <v>28.75</v>
      </c>
      <c r="D129" s="6">
        <f t="shared" si="2"/>
        <v>2.6785714285714191E-2</v>
      </c>
      <c r="F129" s="34">
        <v>41335.53</v>
      </c>
      <c r="G129" s="6">
        <f t="shared" si="3"/>
        <v>-1.3586252286727607E-2</v>
      </c>
    </row>
    <row r="130" spans="2:7" x14ac:dyDescent="0.35">
      <c r="B130" s="23">
        <v>45095</v>
      </c>
      <c r="C130">
        <v>28.75</v>
      </c>
      <c r="D130" s="6">
        <f t="shared" si="2"/>
        <v>0</v>
      </c>
      <c r="F130" s="34">
        <v>40090.36</v>
      </c>
      <c r="G130" s="6">
        <f t="shared" si="3"/>
        <v>-3.0123479727972469E-2</v>
      </c>
    </row>
    <row r="131" spans="2:7" x14ac:dyDescent="0.35">
      <c r="B131" s="23">
        <v>45102</v>
      </c>
      <c r="C131">
        <v>29</v>
      </c>
      <c r="D131" s="6">
        <f t="shared" si="2"/>
        <v>8.6956521739129933E-3</v>
      </c>
      <c r="F131" s="34">
        <v>41452.68</v>
      </c>
      <c r="G131" s="6">
        <f t="shared" si="3"/>
        <v>3.398123638700179E-2</v>
      </c>
    </row>
    <row r="132" spans="2:7" x14ac:dyDescent="0.35">
      <c r="B132" s="23">
        <v>45109</v>
      </c>
      <c r="C132">
        <v>28.9</v>
      </c>
      <c r="D132" s="6">
        <f t="shared" si="2"/>
        <v>-3.4482758620689724E-3</v>
      </c>
      <c r="F132" s="34">
        <v>44284.92</v>
      </c>
      <c r="G132" s="6">
        <f t="shared" si="3"/>
        <v>6.8324653556778525E-2</v>
      </c>
    </row>
    <row r="133" spans="2:7" x14ac:dyDescent="0.35">
      <c r="B133" s="23">
        <v>45116</v>
      </c>
      <c r="C133">
        <v>27.98</v>
      </c>
      <c r="D133" s="6">
        <f t="shared" si="2"/>
        <v>-3.1833910034602009E-2</v>
      </c>
      <c r="F133" s="34">
        <v>45071.94</v>
      </c>
      <c r="G133" s="6">
        <f t="shared" si="3"/>
        <v>1.7771738099560785E-2</v>
      </c>
    </row>
    <row r="134" spans="2:7" x14ac:dyDescent="0.35">
      <c r="B134" s="23">
        <v>45123</v>
      </c>
      <c r="C134">
        <v>27.75</v>
      </c>
      <c r="D134" s="6">
        <f t="shared" si="2"/>
        <v>-8.2201572551823254E-3</v>
      </c>
      <c r="F134" s="34">
        <v>45888.26</v>
      </c>
      <c r="G134" s="6">
        <f t="shared" si="3"/>
        <v>1.8111490208764014E-2</v>
      </c>
    </row>
    <row r="135" spans="2:7" x14ac:dyDescent="0.35">
      <c r="B135" s="23">
        <v>45130</v>
      </c>
      <c r="C135">
        <v>27.95</v>
      </c>
      <c r="D135" s="6">
        <f t="shared" si="2"/>
        <v>7.2072072072071336E-3</v>
      </c>
      <c r="F135" s="34">
        <v>47139.06</v>
      </c>
      <c r="G135" s="6">
        <f t="shared" si="3"/>
        <v>2.7257516410515326E-2</v>
      </c>
    </row>
    <row r="136" spans="2:7" x14ac:dyDescent="0.35">
      <c r="B136" s="23">
        <v>45137</v>
      </c>
      <c r="C136">
        <v>27.89</v>
      </c>
      <c r="D136" s="6">
        <f t="shared" si="2"/>
        <v>-2.1466905187834673E-3</v>
      </c>
      <c r="F136" s="34">
        <v>48585.71</v>
      </c>
      <c r="G136" s="6">
        <f t="shared" si="3"/>
        <v>3.0688987009923396E-2</v>
      </c>
    </row>
    <row r="137" spans="2:7" x14ac:dyDescent="0.35">
      <c r="B137" s="23">
        <v>45144</v>
      </c>
      <c r="C137">
        <v>28</v>
      </c>
      <c r="D137" s="6">
        <f t="shared" ref="D137:D200" si="4">C137/C136 -1</f>
        <v>3.9440659734670813E-3</v>
      </c>
      <c r="F137" s="34">
        <v>48424.4</v>
      </c>
      <c r="G137" s="6">
        <f t="shared" ref="G137:G200" si="5">F137/F136 -1</f>
        <v>-3.3201120247084992E-3</v>
      </c>
    </row>
    <row r="138" spans="2:7" x14ac:dyDescent="0.35">
      <c r="B138" s="23">
        <v>45151</v>
      </c>
      <c r="C138">
        <v>27.65</v>
      </c>
      <c r="D138" s="6">
        <f t="shared" si="4"/>
        <v>-1.2500000000000067E-2</v>
      </c>
      <c r="F138" s="34">
        <v>48218.49</v>
      </c>
      <c r="G138" s="6">
        <f t="shared" si="5"/>
        <v>-4.2521951743336173E-3</v>
      </c>
    </row>
    <row r="139" spans="2:7" x14ac:dyDescent="0.35">
      <c r="B139" s="23">
        <v>45158</v>
      </c>
      <c r="C139">
        <v>27.5</v>
      </c>
      <c r="D139" s="6">
        <f t="shared" si="4"/>
        <v>-5.4249547920433017E-3</v>
      </c>
      <c r="F139" s="34">
        <v>47671.21</v>
      </c>
      <c r="G139" s="6">
        <f t="shared" si="5"/>
        <v>-1.1350002872342113E-2</v>
      </c>
    </row>
    <row r="140" spans="2:7" x14ac:dyDescent="0.35">
      <c r="B140" s="23">
        <v>45165</v>
      </c>
      <c r="C140">
        <v>27.99</v>
      </c>
      <c r="D140" s="6">
        <f t="shared" si="4"/>
        <v>1.7818181818181733E-2</v>
      </c>
      <c r="F140" s="34">
        <v>45312.65</v>
      </c>
      <c r="G140" s="6">
        <f t="shared" si="5"/>
        <v>-4.9475563972468883E-2</v>
      </c>
    </row>
    <row r="141" spans="2:7" x14ac:dyDescent="0.35">
      <c r="B141" s="23">
        <v>45172</v>
      </c>
      <c r="C141">
        <v>26.95</v>
      </c>
      <c r="D141" s="6">
        <f t="shared" si="4"/>
        <v>-3.715612718828154E-2</v>
      </c>
      <c r="F141" s="34">
        <v>46013.48</v>
      </c>
      <c r="G141" s="6">
        <f t="shared" si="5"/>
        <v>1.5466541903861319E-2</v>
      </c>
    </row>
    <row r="142" spans="2:7" x14ac:dyDescent="0.35">
      <c r="B142" s="23">
        <v>45179</v>
      </c>
      <c r="C142">
        <v>27.4</v>
      </c>
      <c r="D142" s="6">
        <f t="shared" si="4"/>
        <v>1.6697588126159513E-2</v>
      </c>
      <c r="F142" s="34">
        <v>45753.51</v>
      </c>
      <c r="G142" s="6">
        <f t="shared" si="5"/>
        <v>-5.6498660827218883E-3</v>
      </c>
    </row>
    <row r="143" spans="2:7" x14ac:dyDescent="0.35">
      <c r="B143" s="23">
        <v>45186</v>
      </c>
      <c r="C143">
        <v>27.75</v>
      </c>
      <c r="D143" s="6">
        <f t="shared" si="4"/>
        <v>1.2773722627737349E-2</v>
      </c>
      <c r="F143" s="34">
        <v>46436.41</v>
      </c>
      <c r="G143" s="6">
        <f t="shared" si="5"/>
        <v>1.4925630842311355E-2</v>
      </c>
    </row>
    <row r="144" spans="2:7" x14ac:dyDescent="0.35">
      <c r="B144" s="23">
        <v>45193</v>
      </c>
      <c r="C144">
        <v>29</v>
      </c>
      <c r="D144" s="6">
        <f t="shared" si="4"/>
        <v>4.5045045045045029E-2</v>
      </c>
      <c r="F144" s="34">
        <v>46232.59</v>
      </c>
      <c r="G144" s="6">
        <f t="shared" si="5"/>
        <v>-4.3892281939970079E-3</v>
      </c>
    </row>
    <row r="145" spans="2:7" x14ac:dyDescent="0.35">
      <c r="B145" s="23">
        <v>45200</v>
      </c>
      <c r="C145">
        <v>29.5</v>
      </c>
      <c r="D145" s="6">
        <f t="shared" si="4"/>
        <v>1.7241379310344751E-2</v>
      </c>
      <c r="F145" s="34">
        <v>47508.67</v>
      </c>
      <c r="G145" s="6">
        <f t="shared" si="5"/>
        <v>2.7601308946784142E-2</v>
      </c>
    </row>
    <row r="146" spans="2:7" x14ac:dyDescent="0.35">
      <c r="B146" s="23">
        <v>45207</v>
      </c>
      <c r="C146">
        <v>30</v>
      </c>
      <c r="D146" s="6">
        <f t="shared" si="4"/>
        <v>1.6949152542372836E-2</v>
      </c>
      <c r="F146" s="34">
        <v>49493.47</v>
      </c>
      <c r="G146" s="6">
        <f t="shared" si="5"/>
        <v>4.1777637639613951E-2</v>
      </c>
    </row>
    <row r="147" spans="2:7" x14ac:dyDescent="0.35">
      <c r="B147" s="23">
        <v>45214</v>
      </c>
      <c r="C147">
        <v>31.15</v>
      </c>
      <c r="D147" s="6">
        <f t="shared" si="4"/>
        <v>3.833333333333333E-2</v>
      </c>
      <c r="F147" s="34">
        <v>50674.52</v>
      </c>
      <c r="G147" s="6">
        <f t="shared" si="5"/>
        <v>2.386274391348997E-2</v>
      </c>
    </row>
    <row r="148" spans="2:7" x14ac:dyDescent="0.35">
      <c r="B148" s="23">
        <v>45221</v>
      </c>
      <c r="C148">
        <v>31.76</v>
      </c>
      <c r="D148" s="6">
        <f t="shared" si="4"/>
        <v>1.9582664526484939E-2</v>
      </c>
      <c r="F148" s="34">
        <v>50958.45</v>
      </c>
      <c r="G148" s="6">
        <f t="shared" si="5"/>
        <v>5.6030131119151338E-3</v>
      </c>
    </row>
    <row r="149" spans="2:7" x14ac:dyDescent="0.35">
      <c r="B149" s="23">
        <v>45228</v>
      </c>
      <c r="C149">
        <v>32.24</v>
      </c>
      <c r="D149" s="6">
        <f t="shared" si="4"/>
        <v>1.5113350125944613E-2</v>
      </c>
      <c r="F149" s="34">
        <v>53175.72</v>
      </c>
      <c r="G149" s="6">
        <f t="shared" si="5"/>
        <v>4.3511331290492672E-2</v>
      </c>
    </row>
    <row r="150" spans="2:7" x14ac:dyDescent="0.35">
      <c r="B150" s="23">
        <v>45235</v>
      </c>
      <c r="C150">
        <v>32</v>
      </c>
      <c r="D150" s="6">
        <f t="shared" si="4"/>
        <v>-7.4441687344913854E-3</v>
      </c>
      <c r="F150" s="34">
        <v>55399.66</v>
      </c>
      <c r="G150" s="6">
        <f t="shared" si="5"/>
        <v>4.1822470857000082E-2</v>
      </c>
    </row>
    <row r="151" spans="2:7" x14ac:dyDescent="0.35">
      <c r="B151" s="23">
        <v>45242</v>
      </c>
      <c r="C151">
        <v>33.450000000000003</v>
      </c>
      <c r="D151" s="6">
        <f t="shared" si="4"/>
        <v>4.5312500000000089E-2</v>
      </c>
      <c r="F151" s="34">
        <v>57016.959999999999</v>
      </c>
      <c r="G151" s="6">
        <f t="shared" si="5"/>
        <v>2.9193319959003317E-2</v>
      </c>
    </row>
    <row r="152" spans="2:7" x14ac:dyDescent="0.35">
      <c r="B152" s="23">
        <v>45249</v>
      </c>
      <c r="C152">
        <v>33.770000000000003</v>
      </c>
      <c r="D152" s="6">
        <f t="shared" si="4"/>
        <v>9.5665171898355883E-3</v>
      </c>
      <c r="F152" s="34">
        <v>59173.34</v>
      </c>
      <c r="G152" s="6">
        <f t="shared" si="5"/>
        <v>3.7819974968851255E-2</v>
      </c>
    </row>
    <row r="153" spans="2:7" x14ac:dyDescent="0.35">
      <c r="B153" s="23">
        <v>45256</v>
      </c>
      <c r="C153">
        <v>33.950000000000003</v>
      </c>
      <c r="D153" s="6">
        <f t="shared" si="4"/>
        <v>5.3301747112821651E-3</v>
      </c>
      <c r="F153" s="34">
        <v>61691.25</v>
      </c>
      <c r="G153" s="6">
        <f t="shared" si="5"/>
        <v>4.2551426030709161E-2</v>
      </c>
    </row>
    <row r="154" spans="2:7" x14ac:dyDescent="0.35">
      <c r="B154" s="23">
        <v>45263</v>
      </c>
      <c r="C154">
        <v>33.5</v>
      </c>
      <c r="D154" s="6">
        <f t="shared" si="4"/>
        <v>-1.3254786450662803E-2</v>
      </c>
      <c r="F154" s="34">
        <v>66223.63</v>
      </c>
      <c r="G154" s="6">
        <f t="shared" si="5"/>
        <v>7.3468765829838079E-2</v>
      </c>
    </row>
    <row r="155" spans="2:7" x14ac:dyDescent="0.35">
      <c r="B155" s="23">
        <v>45270</v>
      </c>
      <c r="C155">
        <v>35.86</v>
      </c>
      <c r="D155" s="6">
        <f t="shared" si="4"/>
        <v>7.0447761194029734E-2</v>
      </c>
      <c r="F155" s="34">
        <v>66130.02</v>
      </c>
      <c r="G155" s="6">
        <f t="shared" si="5"/>
        <v>-1.4135437758395764E-3</v>
      </c>
    </row>
    <row r="156" spans="2:7" x14ac:dyDescent="0.35">
      <c r="B156" s="23">
        <v>45277</v>
      </c>
      <c r="C156">
        <v>33.799999999999997</v>
      </c>
      <c r="D156" s="6">
        <f t="shared" si="4"/>
        <v>-5.7445621862799889E-2</v>
      </c>
      <c r="F156" s="34">
        <v>61705.09</v>
      </c>
      <c r="G156" s="6">
        <f t="shared" si="5"/>
        <v>-6.6912576164350313E-2</v>
      </c>
    </row>
    <row r="157" spans="2:7" x14ac:dyDescent="0.35">
      <c r="B157" s="23">
        <v>45284</v>
      </c>
      <c r="C157">
        <v>35.49</v>
      </c>
      <c r="D157" s="6">
        <f t="shared" si="4"/>
        <v>5.0000000000000044E-2</v>
      </c>
      <c r="F157" s="34">
        <v>62451.040000000001</v>
      </c>
      <c r="G157" s="6">
        <f t="shared" si="5"/>
        <v>1.2088954087904336E-2</v>
      </c>
    </row>
    <row r="158" spans="2:7" x14ac:dyDescent="0.35">
      <c r="B158" s="23">
        <v>45291</v>
      </c>
      <c r="C158">
        <v>36</v>
      </c>
      <c r="D158" s="6">
        <f t="shared" si="4"/>
        <v>1.4370245139475823E-2</v>
      </c>
      <c r="F158" s="34">
        <v>64514.9</v>
      </c>
      <c r="G158" s="6">
        <f t="shared" si="5"/>
        <v>3.3047648205698499E-2</v>
      </c>
    </row>
    <row r="159" spans="2:7" x14ac:dyDescent="0.35">
      <c r="B159" s="23">
        <v>45298</v>
      </c>
      <c r="C159">
        <v>35.82</v>
      </c>
      <c r="D159" s="6">
        <f t="shared" si="4"/>
        <v>-5.0000000000000044E-3</v>
      </c>
      <c r="F159" s="34">
        <v>64637.64</v>
      </c>
      <c r="G159" s="6">
        <f t="shared" si="5"/>
        <v>1.9025062427437955E-3</v>
      </c>
    </row>
    <row r="160" spans="2:7" x14ac:dyDescent="0.35">
      <c r="B160" s="23">
        <v>45305</v>
      </c>
      <c r="C160">
        <v>33.99</v>
      </c>
      <c r="D160" s="6">
        <f t="shared" si="4"/>
        <v>-5.1088777219430392E-2</v>
      </c>
      <c r="F160" s="34">
        <v>63282.23</v>
      </c>
      <c r="G160" s="6">
        <f t="shared" si="5"/>
        <v>-2.0969360886319399E-2</v>
      </c>
    </row>
    <row r="161" spans="2:7" x14ac:dyDescent="0.35">
      <c r="B161" s="23">
        <v>45312</v>
      </c>
      <c r="C161">
        <v>34.9</v>
      </c>
      <c r="D161" s="6">
        <f t="shared" si="4"/>
        <v>2.6772580170638216E-2</v>
      </c>
      <c r="F161" s="34">
        <v>63813.06</v>
      </c>
      <c r="G161" s="6">
        <f t="shared" si="5"/>
        <v>8.388294786703776E-3</v>
      </c>
    </row>
    <row r="162" spans="2:7" x14ac:dyDescent="0.35">
      <c r="B162" s="23">
        <v>45319</v>
      </c>
      <c r="C162">
        <v>33.5</v>
      </c>
      <c r="D162" s="6">
        <f t="shared" si="4"/>
        <v>-4.0114613180515679E-2</v>
      </c>
      <c r="F162" s="34">
        <v>63002.92</v>
      </c>
      <c r="G162" s="6">
        <f t="shared" si="5"/>
        <v>-1.2695520321388765E-2</v>
      </c>
    </row>
    <row r="163" spans="2:7" x14ac:dyDescent="0.35">
      <c r="B163" s="23">
        <v>45326</v>
      </c>
      <c r="C163">
        <v>34.64</v>
      </c>
      <c r="D163" s="6">
        <f t="shared" si="4"/>
        <v>3.4029850746268631E-2</v>
      </c>
      <c r="F163" s="34">
        <v>62943.75</v>
      </c>
      <c r="G163" s="6">
        <f t="shared" si="5"/>
        <v>-9.3916281975503502E-4</v>
      </c>
    </row>
    <row r="164" spans="2:7" x14ac:dyDescent="0.35">
      <c r="B164" s="23">
        <v>45333</v>
      </c>
      <c r="C164">
        <v>36.31</v>
      </c>
      <c r="D164" s="6">
        <f t="shared" si="4"/>
        <v>4.8210161662817663E-2</v>
      </c>
      <c r="F164" s="34">
        <v>59872.959999999999</v>
      </c>
      <c r="G164" s="6">
        <f t="shared" si="5"/>
        <v>-4.8786257571244218E-2</v>
      </c>
    </row>
    <row r="165" spans="2:7" x14ac:dyDescent="0.35">
      <c r="B165" s="23">
        <v>45340</v>
      </c>
      <c r="C165">
        <v>35.31</v>
      </c>
      <c r="D165" s="6">
        <f t="shared" si="4"/>
        <v>-2.7540622418066651E-2</v>
      </c>
      <c r="F165" s="34">
        <v>62815.82</v>
      </c>
      <c r="G165" s="6">
        <f t="shared" si="5"/>
        <v>4.9151737278397389E-2</v>
      </c>
    </row>
    <row r="166" spans="2:7" x14ac:dyDescent="0.35">
      <c r="B166" s="23">
        <v>45347</v>
      </c>
      <c r="C166">
        <v>37.020000000000003</v>
      </c>
      <c r="D166" s="6">
        <f t="shared" si="4"/>
        <v>4.8428207306711935E-2</v>
      </c>
      <c r="F166" s="34">
        <v>65325.69</v>
      </c>
      <c r="G166" s="6">
        <f t="shared" si="5"/>
        <v>3.9956017449107595E-2</v>
      </c>
    </row>
    <row r="167" spans="2:7" x14ac:dyDescent="0.35">
      <c r="B167" s="23">
        <v>45354</v>
      </c>
      <c r="C167">
        <v>37.549999999999997</v>
      </c>
      <c r="D167" s="6">
        <f t="shared" si="4"/>
        <v>1.4316585629389422E-2</v>
      </c>
      <c r="F167" s="34">
        <v>65793.759999999995</v>
      </c>
      <c r="G167" s="6">
        <f t="shared" si="5"/>
        <v>7.1651749870531578E-3</v>
      </c>
    </row>
    <row r="168" spans="2:7" x14ac:dyDescent="0.35">
      <c r="B168" s="23">
        <v>45361</v>
      </c>
      <c r="C168">
        <v>37.29</v>
      </c>
      <c r="D168" s="6">
        <f t="shared" si="4"/>
        <v>-6.9241011984020329E-3</v>
      </c>
      <c r="F168" s="34">
        <v>64816.47</v>
      </c>
      <c r="G168" s="6">
        <f t="shared" si="5"/>
        <v>-1.4853840242600391E-2</v>
      </c>
    </row>
    <row r="169" spans="2:7" x14ac:dyDescent="0.35">
      <c r="B169" s="23">
        <v>45368</v>
      </c>
      <c r="C169">
        <v>37.909999999999997</v>
      </c>
      <c r="D169" s="6">
        <f t="shared" si="4"/>
        <v>1.6626441405202419E-2</v>
      </c>
      <c r="F169" s="34">
        <v>65151.83</v>
      </c>
      <c r="G169" s="6">
        <f t="shared" si="5"/>
        <v>5.173993585272374E-3</v>
      </c>
    </row>
    <row r="170" spans="2:7" x14ac:dyDescent="0.35">
      <c r="B170" s="23">
        <v>45375</v>
      </c>
      <c r="C170">
        <v>39.74</v>
      </c>
      <c r="D170" s="6">
        <f t="shared" si="4"/>
        <v>4.8272223687681581E-2</v>
      </c>
      <c r="F170" s="34">
        <v>67005.11</v>
      </c>
      <c r="G170" s="6">
        <f t="shared" si="5"/>
        <v>2.8445555558454849E-2</v>
      </c>
    </row>
    <row r="171" spans="2:7" x14ac:dyDescent="0.35">
      <c r="B171" s="23">
        <v>45382</v>
      </c>
      <c r="C171">
        <v>40.090000000000003</v>
      </c>
      <c r="D171" s="6">
        <f t="shared" si="4"/>
        <v>8.8072471061901858E-3</v>
      </c>
      <c r="F171" s="34">
        <v>68416.78</v>
      </c>
      <c r="G171" s="6">
        <f t="shared" si="5"/>
        <v>2.1068094657258118E-2</v>
      </c>
    </row>
    <row r="172" spans="2:7" x14ac:dyDescent="0.35">
      <c r="B172" s="23">
        <v>45389</v>
      </c>
      <c r="C172">
        <v>41</v>
      </c>
      <c r="D172" s="6">
        <f t="shared" si="4"/>
        <v>2.2698927413320025E-2</v>
      </c>
      <c r="F172" s="34">
        <v>70314.720000000001</v>
      </c>
      <c r="G172" s="6">
        <f t="shared" si="5"/>
        <v>2.7740855386646501E-2</v>
      </c>
    </row>
    <row r="173" spans="2:7" x14ac:dyDescent="0.35">
      <c r="B173" s="23">
        <v>45396</v>
      </c>
      <c r="C173">
        <v>45.24</v>
      </c>
      <c r="D173" s="6">
        <f t="shared" si="4"/>
        <v>0.10341463414634156</v>
      </c>
      <c r="F173" s="34">
        <v>70909.899999999994</v>
      </c>
      <c r="G173" s="6">
        <f t="shared" si="5"/>
        <v>8.4645149692694766E-3</v>
      </c>
    </row>
    <row r="174" spans="2:7" x14ac:dyDescent="0.35">
      <c r="B174" s="23">
        <v>45403</v>
      </c>
      <c r="C174">
        <v>52.65</v>
      </c>
      <c r="D174" s="6">
        <f t="shared" si="4"/>
        <v>0.1637931034482758</v>
      </c>
      <c r="F174" s="34">
        <v>72742.75</v>
      </c>
      <c r="G174" s="6">
        <f t="shared" si="5"/>
        <v>2.5847589687758799E-2</v>
      </c>
    </row>
    <row r="175" spans="2:7" x14ac:dyDescent="0.35">
      <c r="B175" s="23">
        <v>45410</v>
      </c>
      <c r="C175">
        <v>52</v>
      </c>
      <c r="D175" s="6">
        <f t="shared" si="4"/>
        <v>-1.2345679012345623E-2</v>
      </c>
      <c r="F175" s="34">
        <v>71902.09</v>
      </c>
      <c r="G175" s="6">
        <f t="shared" si="5"/>
        <v>-1.1556615607741016E-2</v>
      </c>
    </row>
    <row r="176" spans="2:7" x14ac:dyDescent="0.35">
      <c r="B176" s="23">
        <v>45417</v>
      </c>
      <c r="C176">
        <v>49</v>
      </c>
      <c r="D176" s="6">
        <f t="shared" si="4"/>
        <v>-5.7692307692307709E-2</v>
      </c>
      <c r="F176" s="34">
        <v>73085.5</v>
      </c>
      <c r="G176" s="6">
        <f t="shared" si="5"/>
        <v>1.6458631452854977E-2</v>
      </c>
    </row>
    <row r="177" spans="2:7" x14ac:dyDescent="0.35">
      <c r="B177" s="23">
        <v>45424</v>
      </c>
      <c r="C177">
        <v>50.5</v>
      </c>
      <c r="D177" s="6">
        <f t="shared" si="4"/>
        <v>3.0612244897959107E-2</v>
      </c>
      <c r="F177" s="34">
        <v>75342.350000000006</v>
      </c>
      <c r="G177" s="6">
        <f t="shared" si="5"/>
        <v>3.0879586238036438E-2</v>
      </c>
    </row>
    <row r="178" spans="2:7" x14ac:dyDescent="0.35">
      <c r="B178" s="23">
        <v>45431</v>
      </c>
      <c r="C178">
        <v>50.5</v>
      </c>
      <c r="D178" s="6">
        <f t="shared" si="4"/>
        <v>0</v>
      </c>
      <c r="F178" s="34">
        <v>75983.039999999994</v>
      </c>
      <c r="G178" s="6">
        <f t="shared" si="5"/>
        <v>8.5037167011645654E-3</v>
      </c>
    </row>
    <row r="179" spans="2:7" x14ac:dyDescent="0.35">
      <c r="B179" s="23">
        <v>45438</v>
      </c>
      <c r="C179">
        <v>48.98</v>
      </c>
      <c r="D179" s="6">
        <f t="shared" si="4"/>
        <v>-3.0099009900990126E-2</v>
      </c>
      <c r="F179" s="34">
        <v>75878.48</v>
      </c>
      <c r="G179" s="6">
        <f t="shared" si="5"/>
        <v>-1.3760965604955322E-3</v>
      </c>
    </row>
    <row r="180" spans="2:7" x14ac:dyDescent="0.35">
      <c r="B180" s="23">
        <v>45445</v>
      </c>
      <c r="C180">
        <v>48.15</v>
      </c>
      <c r="D180" s="6">
        <f t="shared" si="4"/>
        <v>-1.6945692119232358E-2</v>
      </c>
      <c r="F180" s="34">
        <v>73754.02</v>
      </c>
      <c r="G180" s="6">
        <f t="shared" si="5"/>
        <v>-2.7998188682746283E-2</v>
      </c>
    </row>
    <row r="181" spans="2:7" x14ac:dyDescent="0.35">
      <c r="B181" s="23">
        <v>45452</v>
      </c>
      <c r="C181">
        <v>48.95</v>
      </c>
      <c r="D181" s="6">
        <f t="shared" si="4"/>
        <v>1.6614745586708279E-2</v>
      </c>
      <c r="F181" s="34">
        <v>76706.77</v>
      </c>
      <c r="G181" s="6">
        <f t="shared" si="5"/>
        <v>4.0035105883041933E-2</v>
      </c>
    </row>
    <row r="182" spans="2:7" x14ac:dyDescent="0.35">
      <c r="B182" s="23">
        <v>45459</v>
      </c>
      <c r="C182">
        <v>49.75</v>
      </c>
      <c r="D182" s="6">
        <f t="shared" si="4"/>
        <v>1.6343207354443168E-2</v>
      </c>
      <c r="F182" s="34">
        <v>78810.490000000005</v>
      </c>
      <c r="G182" s="6">
        <f t="shared" si="5"/>
        <v>2.7425480176000105E-2</v>
      </c>
    </row>
    <row r="183" spans="2:7" x14ac:dyDescent="0.35">
      <c r="B183" s="23">
        <v>45466</v>
      </c>
      <c r="C183">
        <v>51.62</v>
      </c>
      <c r="D183" s="6">
        <f t="shared" si="4"/>
        <v>3.758793969849239E-2</v>
      </c>
      <c r="F183" s="34">
        <v>78444.960000000006</v>
      </c>
      <c r="G183" s="6">
        <f t="shared" si="5"/>
        <v>-4.6380881529857199E-3</v>
      </c>
    </row>
    <row r="184" spans="2:7" x14ac:dyDescent="0.35">
      <c r="B184" s="23">
        <v>45473</v>
      </c>
      <c r="C184">
        <v>53.47</v>
      </c>
      <c r="D184" s="6">
        <f t="shared" si="4"/>
        <v>3.5838822161952777E-2</v>
      </c>
      <c r="F184" s="34">
        <v>80212.789999999994</v>
      </c>
      <c r="G184" s="6">
        <f t="shared" si="5"/>
        <v>2.2535928375768011E-2</v>
      </c>
    </row>
    <row r="185" spans="2:7" x14ac:dyDescent="0.35">
      <c r="B185" s="23">
        <v>45480</v>
      </c>
      <c r="C185">
        <v>52.77</v>
      </c>
      <c r="D185" s="6">
        <f t="shared" si="4"/>
        <v>-1.309145315129967E-2</v>
      </c>
      <c r="F185" s="34">
        <v>79944.100000000006</v>
      </c>
      <c r="G185" s="6">
        <f t="shared" si="5"/>
        <v>-3.3497151763451916E-3</v>
      </c>
    </row>
    <row r="186" spans="2:7" x14ac:dyDescent="0.35">
      <c r="B186" s="23">
        <v>45487</v>
      </c>
      <c r="C186">
        <v>53.08</v>
      </c>
      <c r="D186" s="6">
        <f t="shared" si="4"/>
        <v>5.8745499336743112E-3</v>
      </c>
      <c r="F186" s="34">
        <v>80117.89</v>
      </c>
      <c r="G186" s="6">
        <f t="shared" si="5"/>
        <v>2.1738940084383707E-3</v>
      </c>
    </row>
    <row r="187" spans="2:7" x14ac:dyDescent="0.35">
      <c r="B187" s="23">
        <v>45494</v>
      </c>
      <c r="C187">
        <v>52.01</v>
      </c>
      <c r="D187" s="6">
        <f t="shared" si="4"/>
        <v>-2.0158251695553853E-2</v>
      </c>
      <c r="F187" s="34">
        <v>78029.509999999995</v>
      </c>
      <c r="G187" s="6">
        <f t="shared" si="5"/>
        <v>-2.6066337992675548E-2</v>
      </c>
    </row>
    <row r="188" spans="2:7" x14ac:dyDescent="0.35">
      <c r="B188" s="23">
        <v>45501</v>
      </c>
      <c r="C188">
        <v>53</v>
      </c>
      <c r="D188" s="6">
        <f t="shared" si="4"/>
        <v>1.903480099980781E-2</v>
      </c>
      <c r="F188" s="34">
        <v>78225.98</v>
      </c>
      <c r="G188" s="6">
        <f t="shared" si="5"/>
        <v>2.5178935507861322E-3</v>
      </c>
    </row>
    <row r="189" spans="2:7" x14ac:dyDescent="0.35">
      <c r="B189" s="23">
        <v>45508</v>
      </c>
      <c r="C189">
        <v>51.8</v>
      </c>
      <c r="D189" s="6">
        <f t="shared" si="4"/>
        <v>-2.264150943396237E-2</v>
      </c>
      <c r="F189" s="34">
        <v>78569.59</v>
      </c>
      <c r="G189" s="6">
        <f t="shared" si="5"/>
        <v>4.3925304611076577E-3</v>
      </c>
    </row>
    <row r="190" spans="2:7" x14ac:dyDescent="0.35">
      <c r="B190" s="23">
        <v>45515</v>
      </c>
      <c r="C190">
        <v>51.13</v>
      </c>
      <c r="D190" s="6">
        <f t="shared" si="4"/>
        <v>-1.2934362934362786E-2</v>
      </c>
      <c r="F190" s="34">
        <v>78045.31</v>
      </c>
      <c r="G190" s="6">
        <f t="shared" si="5"/>
        <v>-6.6728106892246508E-3</v>
      </c>
    </row>
    <row r="191" spans="2:7" x14ac:dyDescent="0.35">
      <c r="B191" s="23">
        <v>45522</v>
      </c>
      <c r="C191">
        <v>51.74</v>
      </c>
      <c r="D191" s="6">
        <f t="shared" si="4"/>
        <v>1.1930373557598184E-2</v>
      </c>
      <c r="F191" s="34">
        <v>78801.429999999993</v>
      </c>
      <c r="G191" s="6">
        <f t="shared" si="5"/>
        <v>9.6882182926814053E-3</v>
      </c>
    </row>
    <row r="192" spans="2:7" x14ac:dyDescent="0.35">
      <c r="B192" s="23">
        <v>45529</v>
      </c>
      <c r="C192">
        <v>53.99</v>
      </c>
      <c r="D192" s="6">
        <f t="shared" si="4"/>
        <v>4.3486664089679161E-2</v>
      </c>
      <c r="F192" s="34">
        <v>78488.22</v>
      </c>
      <c r="G192" s="6">
        <f t="shared" si="5"/>
        <v>-3.9746740636558142E-3</v>
      </c>
    </row>
    <row r="193" spans="2:7" x14ac:dyDescent="0.35">
      <c r="B193" s="23">
        <v>45536</v>
      </c>
      <c r="C193">
        <v>51.68</v>
      </c>
      <c r="D193" s="6">
        <f t="shared" si="4"/>
        <v>-4.278570105575108E-2</v>
      </c>
      <c r="F193" s="34">
        <v>78897.73</v>
      </c>
      <c r="G193" s="6">
        <f t="shared" si="5"/>
        <v>5.2174708510397405E-3</v>
      </c>
    </row>
    <row r="194" spans="2:7" x14ac:dyDescent="0.35">
      <c r="B194" s="23">
        <v>45543</v>
      </c>
      <c r="C194">
        <v>54</v>
      </c>
      <c r="D194" s="6">
        <f t="shared" si="4"/>
        <v>4.4891640866873139E-2</v>
      </c>
      <c r="F194" s="34">
        <v>79333.06</v>
      </c>
      <c r="G194" s="6">
        <f t="shared" si="5"/>
        <v>5.5176492403521404E-3</v>
      </c>
    </row>
    <row r="195" spans="2:7" x14ac:dyDescent="0.35">
      <c r="B195" s="23">
        <v>45550</v>
      </c>
      <c r="C195">
        <v>55.41</v>
      </c>
      <c r="D195" s="6">
        <f t="shared" si="4"/>
        <v>2.6111111111110974E-2</v>
      </c>
      <c r="F195" s="34">
        <v>82074.45</v>
      </c>
      <c r="G195" s="6">
        <f t="shared" si="5"/>
        <v>3.4555455191064066E-2</v>
      </c>
    </row>
    <row r="196" spans="2:7" x14ac:dyDescent="0.35">
      <c r="B196" s="23">
        <v>45557</v>
      </c>
      <c r="C196">
        <v>58.49</v>
      </c>
      <c r="D196" s="6">
        <f t="shared" si="4"/>
        <v>5.558563436202868E-2</v>
      </c>
      <c r="F196" s="34">
        <v>81292.13</v>
      </c>
      <c r="G196" s="6">
        <f t="shared" si="5"/>
        <v>-9.531833597422712E-3</v>
      </c>
    </row>
    <row r="197" spans="2:7" x14ac:dyDescent="0.35">
      <c r="B197" s="23">
        <v>45564</v>
      </c>
      <c r="C197">
        <v>61.94</v>
      </c>
      <c r="D197" s="6">
        <f t="shared" si="4"/>
        <v>5.898444178492035E-2</v>
      </c>
      <c r="F197" s="34">
        <v>83531.960000000006</v>
      </c>
      <c r="G197" s="6">
        <f t="shared" si="5"/>
        <v>2.7552851672111522E-2</v>
      </c>
    </row>
    <row r="198" spans="2:7" x14ac:dyDescent="0.35">
      <c r="B198" s="23">
        <v>45571</v>
      </c>
      <c r="C198">
        <v>61.47</v>
      </c>
      <c r="D198" s="6">
        <f t="shared" si="4"/>
        <v>-7.5879883758476208E-3</v>
      </c>
      <c r="F198" s="34">
        <v>85483.4</v>
      </c>
      <c r="G198" s="6">
        <f t="shared" si="5"/>
        <v>2.3361597165922898E-2</v>
      </c>
    </row>
    <row r="199" spans="2:7" x14ac:dyDescent="0.35">
      <c r="B199" s="23">
        <v>45578</v>
      </c>
      <c r="C199">
        <v>60.76</v>
      </c>
      <c r="D199" s="6">
        <f t="shared" si="4"/>
        <v>-1.1550349764112622E-2</v>
      </c>
      <c r="F199" s="34">
        <v>85250.09</v>
      </c>
      <c r="G199" s="6">
        <f t="shared" si="5"/>
        <v>-2.7293018293610416E-3</v>
      </c>
    </row>
    <row r="200" spans="2:7" x14ac:dyDescent="0.35">
      <c r="B200" s="23">
        <v>45585</v>
      </c>
      <c r="C200">
        <v>63.93</v>
      </c>
      <c r="D200" s="6">
        <f t="shared" si="4"/>
        <v>5.2172481895984335E-2</v>
      </c>
      <c r="F200" s="34">
        <v>89993.97</v>
      </c>
      <c r="G200" s="6">
        <f t="shared" si="5"/>
        <v>5.5646627469836174E-2</v>
      </c>
    </row>
    <row r="201" spans="2:7" x14ac:dyDescent="0.35">
      <c r="B201" s="23">
        <v>45592</v>
      </c>
      <c r="C201">
        <v>63.99</v>
      </c>
      <c r="D201" s="6">
        <f t="shared" ref="D201:D264" si="6">C201/C200 -1</f>
        <v>9.3852651337411608E-4</v>
      </c>
      <c r="F201" s="34">
        <v>90859.85</v>
      </c>
      <c r="G201" s="6">
        <f t="shared" ref="G201:G264" si="7">F201/F200 -1</f>
        <v>9.6215335316356398E-3</v>
      </c>
    </row>
    <row r="202" spans="2:7" x14ac:dyDescent="0.35">
      <c r="B202" s="23">
        <v>45599</v>
      </c>
      <c r="C202">
        <v>65.44</v>
      </c>
      <c r="D202" s="6">
        <f t="shared" si="6"/>
        <v>2.2659790592280071E-2</v>
      </c>
      <c r="F202" s="34">
        <v>93291.68</v>
      </c>
      <c r="G202" s="6">
        <f t="shared" si="7"/>
        <v>2.676462706024707E-2</v>
      </c>
    </row>
    <row r="203" spans="2:7" x14ac:dyDescent="0.35">
      <c r="B203" s="23">
        <v>45606</v>
      </c>
      <c r="C203">
        <v>65.239999999999995</v>
      </c>
      <c r="D203" s="6">
        <f t="shared" si="6"/>
        <v>-3.0562347188264338E-3</v>
      </c>
      <c r="F203" s="34">
        <v>94763.64</v>
      </c>
      <c r="G203" s="6">
        <f t="shared" si="7"/>
        <v>1.5778041514527441E-2</v>
      </c>
    </row>
    <row r="204" spans="2:7" x14ac:dyDescent="0.35">
      <c r="B204" s="23">
        <v>45613</v>
      </c>
      <c r="C204">
        <v>66.25</v>
      </c>
      <c r="D204" s="6">
        <f t="shared" si="6"/>
        <v>1.5481299816063832E-2</v>
      </c>
      <c r="F204" s="34">
        <v>97798.23</v>
      </c>
      <c r="G204" s="6">
        <f t="shared" si="7"/>
        <v>3.2022725171806377E-2</v>
      </c>
    </row>
    <row r="205" spans="2:7" x14ac:dyDescent="0.35">
      <c r="B205" s="23">
        <v>45620</v>
      </c>
      <c r="C205">
        <v>71.59</v>
      </c>
      <c r="D205" s="6">
        <f t="shared" si="6"/>
        <v>8.0603773584905669E-2</v>
      </c>
      <c r="F205" s="34">
        <v>101357.32</v>
      </c>
      <c r="G205" s="6">
        <f t="shared" si="7"/>
        <v>3.6392171923766092E-2</v>
      </c>
    </row>
    <row r="206" spans="2:7" x14ac:dyDescent="0.35">
      <c r="B206" s="23">
        <v>45627</v>
      </c>
      <c r="C206">
        <v>75.88</v>
      </c>
      <c r="D206" s="6">
        <f t="shared" si="6"/>
        <v>5.9924570470736072E-2</v>
      </c>
      <c r="F206" s="34">
        <v>109053.95</v>
      </c>
      <c r="G206" s="6">
        <f t="shared" si="7"/>
        <v>7.5935610767924766E-2</v>
      </c>
    </row>
    <row r="207" spans="2:7" x14ac:dyDescent="0.35">
      <c r="B207" s="23">
        <v>45634</v>
      </c>
      <c r="C207">
        <v>80.36</v>
      </c>
      <c r="D207" s="6">
        <f t="shared" si="6"/>
        <v>5.9040590405904148E-2</v>
      </c>
      <c r="F207" s="34">
        <v>114301.8</v>
      </c>
      <c r="G207" s="6">
        <f t="shared" si="7"/>
        <v>4.8121594861992634E-2</v>
      </c>
    </row>
    <row r="208" spans="2:7" x14ac:dyDescent="0.35">
      <c r="B208" s="23">
        <v>45641</v>
      </c>
      <c r="C208">
        <v>75.03</v>
      </c>
      <c r="D208" s="6">
        <f t="shared" si="6"/>
        <v>-6.6326530612244916E-2</v>
      </c>
      <c r="F208" s="34">
        <v>109513.15</v>
      </c>
      <c r="G208" s="6">
        <f t="shared" si="7"/>
        <v>-4.1894790808193805E-2</v>
      </c>
    </row>
    <row r="209" spans="2:7" x14ac:dyDescent="0.35">
      <c r="B209" s="23">
        <v>45648</v>
      </c>
      <c r="C209">
        <v>76.459999999999994</v>
      </c>
      <c r="D209" s="6">
        <f t="shared" si="6"/>
        <v>1.9059043049446833E-2</v>
      </c>
      <c r="F209" s="34">
        <v>111351.18</v>
      </c>
      <c r="G209" s="6">
        <f t="shared" si="7"/>
        <v>1.6783646530119878E-2</v>
      </c>
    </row>
    <row r="210" spans="2:7" x14ac:dyDescent="0.35">
      <c r="B210" s="23">
        <v>45655</v>
      </c>
      <c r="C210">
        <v>82</v>
      </c>
      <c r="D210" s="6">
        <f t="shared" si="6"/>
        <v>7.2456186241171894E-2</v>
      </c>
      <c r="F210" s="34">
        <v>117586.98</v>
      </c>
      <c r="G210" s="6">
        <f t="shared" si="7"/>
        <v>5.600120268146247E-2</v>
      </c>
    </row>
    <row r="211" spans="2:7" x14ac:dyDescent="0.35">
      <c r="B211" s="23">
        <v>45662</v>
      </c>
      <c r="C211">
        <v>78.28</v>
      </c>
      <c r="D211" s="6">
        <f t="shared" si="6"/>
        <v>-4.5365853658536626E-2</v>
      </c>
      <c r="F211" s="34">
        <v>113247.29</v>
      </c>
      <c r="G211" s="6">
        <f t="shared" si="7"/>
        <v>-3.690621189522858E-2</v>
      </c>
    </row>
    <row r="212" spans="2:7" x14ac:dyDescent="0.35">
      <c r="B212" s="23">
        <v>45669</v>
      </c>
      <c r="C212">
        <v>81.92</v>
      </c>
      <c r="D212" s="6">
        <f t="shared" si="6"/>
        <v>4.6499744506898422E-2</v>
      </c>
      <c r="F212" s="34">
        <v>115272.08</v>
      </c>
      <c r="G212" s="6">
        <f t="shared" si="7"/>
        <v>1.7879368239187121E-2</v>
      </c>
    </row>
    <row r="213" spans="2:7" x14ac:dyDescent="0.35">
      <c r="B213" s="23">
        <v>45676</v>
      </c>
      <c r="C213">
        <v>83.87</v>
      </c>
      <c r="D213" s="6">
        <f t="shared" si="6"/>
        <v>2.38037109375E-2</v>
      </c>
      <c r="F213" s="34">
        <v>114880.49</v>
      </c>
      <c r="G213" s="6">
        <f t="shared" si="7"/>
        <v>-3.3970932076526905E-3</v>
      </c>
    </row>
    <row r="214" spans="2:7" x14ac:dyDescent="0.35">
      <c r="B214" s="23">
        <v>45683</v>
      </c>
      <c r="C214">
        <v>83.12</v>
      </c>
      <c r="D214" s="6">
        <f t="shared" si="6"/>
        <v>-8.942410873971629E-3</v>
      </c>
      <c r="F214" s="34">
        <v>114255.73</v>
      </c>
      <c r="G214" s="6">
        <f t="shared" si="7"/>
        <v>-5.4383472772444597E-3</v>
      </c>
    </row>
    <row r="215" spans="2:7" x14ac:dyDescent="0.35">
      <c r="B215" s="23">
        <v>45690</v>
      </c>
      <c r="C215">
        <v>79.66</v>
      </c>
      <c r="D215" s="6">
        <f t="shared" si="6"/>
        <v>-4.1626564003849897E-2</v>
      </c>
      <c r="F215" s="34">
        <v>110322.94</v>
      </c>
      <c r="G215" s="6">
        <f t="shared" si="7"/>
        <v>-3.4420943264727222E-2</v>
      </c>
    </row>
    <row r="216" spans="2:7" x14ac:dyDescent="0.35">
      <c r="B216" s="23">
        <v>45697</v>
      </c>
      <c r="C216">
        <v>80</v>
      </c>
      <c r="D216" s="6">
        <f t="shared" si="6"/>
        <v>4.2681395932715471E-3</v>
      </c>
      <c r="F216" s="34">
        <v>112085.3</v>
      </c>
      <c r="G216" s="6">
        <f t="shared" si="7"/>
        <v>1.5974556153053987E-2</v>
      </c>
    </row>
    <row r="217" spans="2:7" x14ac:dyDescent="0.35">
      <c r="B217" s="23">
        <v>45704</v>
      </c>
      <c r="C217">
        <v>82.35</v>
      </c>
      <c r="D217" s="6">
        <f t="shared" si="6"/>
        <v>2.9374999999999929E-2</v>
      </c>
      <c r="F217" s="34">
        <v>112800.93</v>
      </c>
      <c r="G217" s="6">
        <f t="shared" si="7"/>
        <v>6.384690945199667E-3</v>
      </c>
    </row>
    <row r="218" spans="2:7" x14ac:dyDescent="0.35">
      <c r="B218" s="23">
        <v>45711</v>
      </c>
      <c r="C218">
        <v>83.86</v>
      </c>
      <c r="D218" s="6">
        <f t="shared" si="6"/>
        <v>1.8336369156041421E-2</v>
      </c>
      <c r="F218" s="34">
        <v>113251.67</v>
      </c>
      <c r="G218" s="6">
        <f t="shared" si="7"/>
        <v>3.9958890409856895E-3</v>
      </c>
    </row>
    <row r="219" spans="2:7" x14ac:dyDescent="0.35">
      <c r="B219" s="23">
        <v>45718</v>
      </c>
      <c r="C219">
        <v>86.28</v>
      </c>
      <c r="D219" s="6">
        <f t="shared" si="6"/>
        <v>2.8857619842594717E-2</v>
      </c>
      <c r="F219" s="34">
        <v>114398.7</v>
      </c>
      <c r="G219" s="6">
        <f t="shared" si="7"/>
        <v>1.0128150869651575E-2</v>
      </c>
    </row>
    <row r="220" spans="2:7" x14ac:dyDescent="0.35">
      <c r="B220" s="23">
        <v>45725</v>
      </c>
      <c r="C220">
        <v>87.72</v>
      </c>
      <c r="D220" s="6">
        <f t="shared" si="6"/>
        <v>1.6689847009735637E-2</v>
      </c>
      <c r="F220" s="34">
        <v>115536.17</v>
      </c>
      <c r="G220" s="6">
        <f t="shared" si="7"/>
        <v>9.9430325694260802E-3</v>
      </c>
    </row>
    <row r="221" spans="2:7" x14ac:dyDescent="0.35">
      <c r="B221" s="23">
        <v>45732</v>
      </c>
      <c r="C221">
        <v>84.96</v>
      </c>
      <c r="D221" s="6">
        <f t="shared" si="6"/>
        <v>-3.1463748290013749E-2</v>
      </c>
      <c r="F221" s="34">
        <v>118442.18</v>
      </c>
      <c r="G221" s="6">
        <f t="shared" si="7"/>
        <v>2.5152383015639046E-2</v>
      </c>
    </row>
    <row r="222" spans="2:7" x14ac:dyDescent="0.35">
      <c r="B222" s="23">
        <v>45739</v>
      </c>
      <c r="C222">
        <v>86.12</v>
      </c>
      <c r="D222" s="6">
        <f t="shared" si="6"/>
        <v>1.365348399246713E-2</v>
      </c>
      <c r="F222" s="34">
        <v>117806.75</v>
      </c>
      <c r="G222" s="6">
        <f t="shared" si="7"/>
        <v>-5.3648961881653801E-3</v>
      </c>
    </row>
    <row r="223" spans="2:7" x14ac:dyDescent="0.35">
      <c r="B223" s="23">
        <v>45746</v>
      </c>
      <c r="C223">
        <v>88</v>
      </c>
      <c r="D223" s="6">
        <f t="shared" si="6"/>
        <v>2.1830004644681766E-2</v>
      </c>
      <c r="F223" s="34">
        <v>118791.66</v>
      </c>
      <c r="G223" s="6">
        <f t="shared" si="7"/>
        <v>8.3603868199402243E-3</v>
      </c>
    </row>
    <row r="224" spans="2:7" x14ac:dyDescent="0.35">
      <c r="B224" s="23">
        <v>45753</v>
      </c>
      <c r="C224">
        <v>83.68</v>
      </c>
      <c r="D224" s="6">
        <f t="shared" si="6"/>
        <v>-4.9090909090908963E-2</v>
      </c>
      <c r="F224" s="34">
        <v>114853.33</v>
      </c>
      <c r="G224" s="6">
        <f t="shared" si="7"/>
        <v>-3.3153253351287493E-2</v>
      </c>
    </row>
    <row r="225" spans="2:7" x14ac:dyDescent="0.35">
      <c r="B225" s="23">
        <v>45760</v>
      </c>
      <c r="C225">
        <v>81.540000000000006</v>
      </c>
      <c r="D225" s="6">
        <f t="shared" si="6"/>
        <v>-2.5573613766730396E-2</v>
      </c>
      <c r="F225" s="34">
        <v>117315.59</v>
      </c>
      <c r="G225" s="6">
        <f t="shared" si="7"/>
        <v>2.1438298741534023E-2</v>
      </c>
    </row>
    <row r="226" spans="2:7" x14ac:dyDescent="0.35">
      <c r="B226" s="23">
        <v>45767</v>
      </c>
      <c r="C226">
        <v>80.03</v>
      </c>
      <c r="D226" s="6">
        <f t="shared" si="6"/>
        <v>-1.8518518518518601E-2</v>
      </c>
      <c r="F226" s="34">
        <v>115469.35</v>
      </c>
      <c r="G226" s="6">
        <f t="shared" si="7"/>
        <v>-1.5737379831614828E-2</v>
      </c>
    </row>
    <row r="227" spans="2:7" x14ac:dyDescent="0.35">
      <c r="B227" s="23">
        <v>45774</v>
      </c>
      <c r="C227">
        <v>82.14</v>
      </c>
      <c r="D227" s="6">
        <f t="shared" si="6"/>
        <v>2.6365113082593927E-2</v>
      </c>
      <c r="F227" s="34">
        <v>114113.94</v>
      </c>
      <c r="G227" s="6">
        <f t="shared" si="7"/>
        <v>-1.1738266475042947E-2</v>
      </c>
    </row>
    <row r="228" spans="2:7" x14ac:dyDescent="0.35">
      <c r="B228" s="23">
        <v>45781</v>
      </c>
      <c r="C228">
        <v>77.8</v>
      </c>
      <c r="D228" s="6">
        <f t="shared" si="6"/>
        <v>-5.2836620404188017E-2</v>
      </c>
      <c r="F228" s="34">
        <v>107174.64</v>
      </c>
      <c r="G228" s="6">
        <f t="shared" si="7"/>
        <v>-6.0810274362623873E-2</v>
      </c>
    </row>
    <row r="229" spans="2:7" x14ac:dyDescent="0.35">
      <c r="B229" s="23">
        <v>45788</v>
      </c>
      <c r="C229">
        <v>86.53</v>
      </c>
      <c r="D229" s="6">
        <f t="shared" si="6"/>
        <v>0.11221079691516711</v>
      </c>
      <c r="F229" s="34">
        <v>119649.14</v>
      </c>
      <c r="G229" s="6">
        <f t="shared" si="7"/>
        <v>0.11639413950912258</v>
      </c>
    </row>
    <row r="230" spans="2:7" x14ac:dyDescent="0.35">
      <c r="B230" s="23">
        <v>45795</v>
      </c>
      <c r="C230">
        <v>87.68</v>
      </c>
      <c r="D230" s="6">
        <f t="shared" si="6"/>
        <v>1.3290188373974443E-2</v>
      </c>
      <c r="F230" s="34">
        <v>119102.67</v>
      </c>
      <c r="G230" s="6">
        <f t="shared" si="7"/>
        <v>-4.5672706047030776E-3</v>
      </c>
    </row>
    <row r="231" spans="2:7" x14ac:dyDescent="0.35">
      <c r="B231" s="23">
        <v>45802</v>
      </c>
      <c r="C231">
        <v>86.88</v>
      </c>
      <c r="D231" s="6">
        <f t="shared" si="6"/>
        <v>-9.1240875912410591E-3</v>
      </c>
      <c r="F231" s="34">
        <v>119691.09</v>
      </c>
      <c r="G231" s="6">
        <f t="shared" si="7"/>
        <v>4.9404434006390385E-3</v>
      </c>
    </row>
    <row r="232" spans="2:7" x14ac:dyDescent="0.35">
      <c r="B232" s="23">
        <v>45809</v>
      </c>
      <c r="C232">
        <v>84.46</v>
      </c>
      <c r="D232" s="6">
        <f t="shared" si="6"/>
        <v>-2.7854511970534124E-2</v>
      </c>
      <c r="F232" s="34">
        <v>121641</v>
      </c>
      <c r="G232" s="6">
        <f t="shared" si="7"/>
        <v>1.6291187589652756E-2</v>
      </c>
    </row>
    <row r="233" spans="2:7" x14ac:dyDescent="0.35">
      <c r="B233" s="23">
        <v>45816</v>
      </c>
      <c r="C233">
        <v>88.7</v>
      </c>
      <c r="D233" s="6">
        <f t="shared" si="6"/>
        <v>5.0201278711816455E-2</v>
      </c>
      <c r="F233" s="34">
        <v>122143.57</v>
      </c>
      <c r="G233" s="6">
        <f t="shared" si="7"/>
        <v>4.1315839231839124E-3</v>
      </c>
    </row>
    <row r="234" spans="2:7" x14ac:dyDescent="0.35">
      <c r="B234" s="23">
        <v>45823</v>
      </c>
      <c r="C234">
        <v>87.02</v>
      </c>
      <c r="D234" s="6">
        <f t="shared" si="6"/>
        <v>-1.8940248027057627E-2</v>
      </c>
      <c r="F234" s="34">
        <v>120023.24</v>
      </c>
      <c r="G234" s="6">
        <f t="shared" si="7"/>
        <v>-1.7359325587093966E-2</v>
      </c>
    </row>
    <row r="235" spans="2:7" x14ac:dyDescent="0.35">
      <c r="B235" s="23">
        <v>45830</v>
      </c>
      <c r="C235">
        <v>97.09</v>
      </c>
      <c r="D235" s="6">
        <f t="shared" si="6"/>
        <v>0.11572052401746724</v>
      </c>
      <c r="F235" s="34">
        <v>124379.07</v>
      </c>
      <c r="G235" s="6">
        <f t="shared" si="7"/>
        <v>3.629155486887381E-2</v>
      </c>
    </row>
    <row r="236" spans="2:7" x14ac:dyDescent="0.35">
      <c r="B236" s="23">
        <v>45837</v>
      </c>
      <c r="C236">
        <v>101.29</v>
      </c>
      <c r="D236" s="6">
        <f t="shared" si="6"/>
        <v>4.3258832011535686E-2</v>
      </c>
      <c r="F236" s="34">
        <v>131949.06</v>
      </c>
      <c r="G236" s="6">
        <f t="shared" si="7"/>
        <v>6.0862249573018889E-2</v>
      </c>
    </row>
    <row r="237" spans="2:7" x14ac:dyDescent="0.35">
      <c r="B237" s="23">
        <v>45844</v>
      </c>
      <c r="C237">
        <v>101.7</v>
      </c>
      <c r="D237" s="6">
        <f t="shared" si="6"/>
        <v>4.0477835916674643E-3</v>
      </c>
      <c r="F237" s="34">
        <v>134299.76999999999</v>
      </c>
      <c r="G237" s="6">
        <f t="shared" si="7"/>
        <v>1.7815284171027734E-2</v>
      </c>
    </row>
    <row r="238" spans="2:7" x14ac:dyDescent="0.35">
      <c r="B238" s="23">
        <v>45851</v>
      </c>
      <c r="C238">
        <v>105.74</v>
      </c>
      <c r="D238" s="6">
        <f t="shared" si="6"/>
        <v>3.9724680432644988E-2</v>
      </c>
      <c r="F238" s="34">
        <v>138597.35999999999</v>
      </c>
      <c r="G238" s="6">
        <f t="shared" si="7"/>
        <v>3.1999980342483081E-2</v>
      </c>
    </row>
    <row r="239" spans="2:7" x14ac:dyDescent="0.35">
      <c r="B239" s="23">
        <v>45858</v>
      </c>
      <c r="C239">
        <v>108.02</v>
      </c>
      <c r="D239" s="6">
        <f t="shared" si="6"/>
        <v>2.156232267826752E-2</v>
      </c>
      <c r="F239" s="34">
        <v>139207.29999999999</v>
      </c>
      <c r="G239" s="6">
        <f t="shared" si="7"/>
        <v>4.4008053255848445E-3</v>
      </c>
    </row>
    <row r="240" spans="2:7" x14ac:dyDescent="0.35">
      <c r="B240" s="23">
        <v>45865</v>
      </c>
      <c r="C240">
        <v>113.31</v>
      </c>
      <c r="D240" s="6">
        <f t="shared" si="6"/>
        <v>4.897241251620077E-2</v>
      </c>
      <c r="F240" s="34">
        <v>141034.98000000001</v>
      </c>
      <c r="G240" s="6">
        <f t="shared" si="7"/>
        <v>1.3129196529205078E-2</v>
      </c>
    </row>
    <row r="241" spans="2:7" x14ac:dyDescent="0.35">
      <c r="B241" s="23">
        <v>45872</v>
      </c>
      <c r="C241">
        <v>123.76</v>
      </c>
      <c r="D241" s="6">
        <f t="shared" si="6"/>
        <v>9.2224869826140754E-2</v>
      </c>
      <c r="F241" s="34">
        <v>145382.79999999999</v>
      </c>
      <c r="G241" s="6">
        <f t="shared" si="7"/>
        <v>3.0827954880413122E-2</v>
      </c>
    </row>
    <row r="242" spans="2:7" x14ac:dyDescent="0.35">
      <c r="B242" s="23">
        <v>45879</v>
      </c>
      <c r="C242">
        <v>130.1</v>
      </c>
      <c r="D242" s="6">
        <f t="shared" si="6"/>
        <v>5.1228183581124576E-2</v>
      </c>
      <c r="F242" s="34">
        <v>146491.63</v>
      </c>
      <c r="G242" s="6">
        <f t="shared" si="7"/>
        <v>7.6269682520904158E-3</v>
      </c>
    </row>
    <row r="243" spans="2:7" x14ac:dyDescent="0.35">
      <c r="B243" s="23">
        <v>45886</v>
      </c>
      <c r="C243">
        <v>127.48</v>
      </c>
      <c r="D243" s="6">
        <f t="shared" si="6"/>
        <v>-2.0138355111452677E-2</v>
      </c>
      <c r="F243" s="34">
        <v>149493.06</v>
      </c>
      <c r="G243" s="6">
        <f t="shared" si="7"/>
        <v>2.0488747377580552E-2</v>
      </c>
    </row>
    <row r="244" spans="2:7" x14ac:dyDescent="0.35">
      <c r="B244" s="23">
        <v>45893</v>
      </c>
      <c r="C244">
        <v>121</v>
      </c>
      <c r="D244" s="6">
        <f t="shared" si="6"/>
        <v>-5.0831502980859811E-2</v>
      </c>
      <c r="F244" s="34">
        <v>148617.78</v>
      </c>
      <c r="G244" s="6">
        <f t="shared" si="7"/>
        <v>-5.8549875158083742E-3</v>
      </c>
    </row>
    <row r="245" spans="2:7" x14ac:dyDescent="0.35">
      <c r="B245" s="23">
        <v>45900</v>
      </c>
      <c r="C245">
        <v>125.66</v>
      </c>
      <c r="D245" s="6">
        <f t="shared" si="6"/>
        <v>3.8512396694214912E-2</v>
      </c>
      <c r="F245" s="34">
        <v>154277.19</v>
      </c>
      <c r="G245" s="6">
        <f t="shared" si="7"/>
        <v>3.8080302370281593E-2</v>
      </c>
    </row>
    <row r="246" spans="2:7" x14ac:dyDescent="0.35">
      <c r="B246" s="23">
        <v>45907</v>
      </c>
      <c r="C246">
        <v>123.28</v>
      </c>
      <c r="D246" s="6">
        <f t="shared" si="6"/>
        <v>-1.8939996816807247E-2</v>
      </c>
      <c r="F246" s="34">
        <v>154439.69</v>
      </c>
      <c r="G246" s="6">
        <f t="shared" si="7"/>
        <v>1.0532989355069855E-3</v>
      </c>
    </row>
    <row r="247" spans="2:7" x14ac:dyDescent="0.35">
      <c r="B247" s="23">
        <v>45914</v>
      </c>
      <c r="C247">
        <v>125.53</v>
      </c>
      <c r="D247" s="6">
        <f t="shared" si="6"/>
        <v>1.8251135626216719E-2</v>
      </c>
      <c r="F247" s="34">
        <v>158037.38</v>
      </c>
      <c r="G247" s="6">
        <f t="shared" si="7"/>
        <v>2.3295112804228024E-2</v>
      </c>
    </row>
    <row r="248" spans="2:7" x14ac:dyDescent="0.35">
      <c r="B248" s="23">
        <v>45921</v>
      </c>
      <c r="C248">
        <v>127.08</v>
      </c>
      <c r="D248" s="6">
        <f t="shared" si="6"/>
        <v>1.2347645981040323E-2</v>
      </c>
      <c r="F248" s="34">
        <v>162257.01999999999</v>
      </c>
      <c r="G248" s="6">
        <f t="shared" si="7"/>
        <v>2.670026546884019E-2</v>
      </c>
    </row>
    <row r="249" spans="2:7" x14ac:dyDescent="0.35">
      <c r="B249" s="23">
        <v>45928</v>
      </c>
      <c r="C249">
        <v>144.11000000000001</v>
      </c>
      <c r="D249" s="6">
        <f t="shared" si="6"/>
        <v>0.13401007239534168</v>
      </c>
      <c r="F249" s="34">
        <v>168990.06</v>
      </c>
      <c r="G249" s="6">
        <f t="shared" si="7"/>
        <v>4.1496139889664052E-2</v>
      </c>
    </row>
    <row r="250" spans="2:7" x14ac:dyDescent="0.35">
      <c r="B250" s="23">
        <v>45935</v>
      </c>
      <c r="C250">
        <v>137.03</v>
      </c>
      <c r="D250" s="6">
        <f t="shared" si="6"/>
        <v>-4.9129137464436923E-2</v>
      </c>
      <c r="F250" s="34">
        <v>163098.19</v>
      </c>
      <c r="G250" s="6">
        <f t="shared" si="7"/>
        <v>-3.4865186745303256E-2</v>
      </c>
    </row>
    <row r="251" spans="2:7" x14ac:dyDescent="0.35">
      <c r="B251" s="23">
        <v>45942</v>
      </c>
      <c r="C251">
        <v>142.93</v>
      </c>
      <c r="D251" s="6">
        <f t="shared" si="6"/>
        <v>4.305626505144855E-2</v>
      </c>
      <c r="F251" s="34">
        <v>163806.22</v>
      </c>
      <c r="G251" s="6">
        <f t="shared" si="7"/>
        <v>4.3411272681812552E-3</v>
      </c>
    </row>
    <row r="252" spans="2:7" x14ac:dyDescent="0.35">
      <c r="B252" s="23">
        <v>45949</v>
      </c>
      <c r="C252">
        <v>137.99</v>
      </c>
      <c r="D252" s="6">
        <f t="shared" si="6"/>
        <v>-3.4562373189673257E-2</v>
      </c>
      <c r="F252" s="34">
        <v>163304.13</v>
      </c>
      <c r="G252" s="6">
        <f t="shared" si="7"/>
        <v>-3.065146122045892E-3</v>
      </c>
    </row>
    <row r="253" spans="2:7" x14ac:dyDescent="0.35">
      <c r="B253" s="23">
        <v>45956</v>
      </c>
      <c r="C253">
        <v>132.59</v>
      </c>
      <c r="D253" s="6">
        <f t="shared" si="6"/>
        <v>-3.9133270526849784E-2</v>
      </c>
      <c r="F253" s="34">
        <v>161631.73000000001</v>
      </c>
      <c r="G253" s="6">
        <f t="shared" si="7"/>
        <v>-1.0241014725102193E-2</v>
      </c>
    </row>
    <row r="254" spans="2:7" x14ac:dyDescent="0.35">
      <c r="B254" s="23">
        <v>45963</v>
      </c>
      <c r="C254">
        <v>129.52000000000001</v>
      </c>
      <c r="D254" s="6">
        <f t="shared" si="6"/>
        <v>-2.3154084018402576E-2</v>
      </c>
      <c r="F254" s="34">
        <v>159592.91</v>
      </c>
      <c r="G254" s="6">
        <f t="shared" si="7"/>
        <v>-1.2613983652838501E-2</v>
      </c>
    </row>
    <row r="255" spans="2:7" x14ac:dyDescent="0.35">
      <c r="B255" s="23">
        <v>45970</v>
      </c>
      <c r="C255">
        <v>135.04</v>
      </c>
      <c r="D255" s="6">
        <f t="shared" si="6"/>
        <v>4.2618900555898565E-2</v>
      </c>
      <c r="F255" s="34">
        <v>161935.19</v>
      </c>
      <c r="G255" s="6">
        <f t="shared" si="7"/>
        <v>1.4676591836065844E-2</v>
      </c>
    </row>
    <row r="256" spans="2:7" x14ac:dyDescent="0.35">
      <c r="B256" s="23">
        <v>45977</v>
      </c>
      <c r="C256">
        <v>137.69999999999999</v>
      </c>
      <c r="D256" s="6">
        <f t="shared" si="6"/>
        <v>1.9697867298578142E-2</v>
      </c>
      <c r="F256" s="34">
        <v>162102.92000000001</v>
      </c>
      <c r="G256" s="6">
        <f t="shared" si="7"/>
        <v>1.0357847482069804E-3</v>
      </c>
    </row>
    <row r="257" spans="2:7" x14ac:dyDescent="0.35">
      <c r="B257" s="23">
        <v>45984</v>
      </c>
      <c r="C257">
        <v>148.88</v>
      </c>
      <c r="D257" s="6">
        <f t="shared" si="6"/>
        <v>8.1190994916485071E-2</v>
      </c>
      <c r="F257" s="34">
        <v>166677.70000000001</v>
      </c>
      <c r="G257" s="6">
        <f t="shared" si="7"/>
        <v>2.8221453382826223E-2</v>
      </c>
    </row>
    <row r="258" spans="2:7" x14ac:dyDescent="0.35">
      <c r="B258" s="23">
        <v>45991</v>
      </c>
      <c r="C258">
        <v>152.74</v>
      </c>
      <c r="D258" s="6">
        <f t="shared" si="6"/>
        <v>2.5926921010209547E-2</v>
      </c>
      <c r="F258" s="34">
        <v>167085.57999999999</v>
      </c>
      <c r="G258" s="6">
        <f t="shared" si="7"/>
        <v>2.4471180007881177E-3</v>
      </c>
    </row>
    <row r="259" spans="2:7" x14ac:dyDescent="0.35">
      <c r="B259" s="23">
        <v>45998</v>
      </c>
      <c r="C259">
        <v>149.83000000000001</v>
      </c>
      <c r="D259" s="6">
        <f t="shared" si="6"/>
        <v>-1.9051983763257785E-2</v>
      </c>
      <c r="F259" s="34">
        <v>169864.53</v>
      </c>
      <c r="G259" s="6">
        <f t="shared" si="7"/>
        <v>1.6631896061886531E-2</v>
      </c>
    </row>
    <row r="260" spans="2:7" x14ac:dyDescent="0.35">
      <c r="B260" s="23">
        <v>46005</v>
      </c>
      <c r="C260">
        <v>143.77000000000001</v>
      </c>
      <c r="D260" s="6">
        <f t="shared" si="6"/>
        <v>-4.0445838617099383E-2</v>
      </c>
      <c r="F260" s="34">
        <v>171404.48</v>
      </c>
      <c r="G260" s="6">
        <f t="shared" si="7"/>
        <v>9.0657537509450936E-3</v>
      </c>
    </row>
    <row r="261" spans="2:7" x14ac:dyDescent="0.35">
      <c r="B261" s="23">
        <v>46012</v>
      </c>
      <c r="C261">
        <v>151.26</v>
      </c>
      <c r="D261" s="6">
        <f t="shared" si="6"/>
        <v>5.2097099533977786E-2</v>
      </c>
      <c r="F261" s="34">
        <v>172400.73</v>
      </c>
      <c r="G261" s="6">
        <f t="shared" si="7"/>
        <v>5.8122751517346583E-3</v>
      </c>
    </row>
    <row r="262" spans="2:7" x14ac:dyDescent="0.35">
      <c r="B262" s="23">
        <v>46019</v>
      </c>
      <c r="C262">
        <v>155.55000000000001</v>
      </c>
      <c r="D262" s="6">
        <f t="shared" si="6"/>
        <v>2.8361761205870861E-2</v>
      </c>
      <c r="F262" s="34">
        <v>179034.94</v>
      </c>
      <c r="G262" s="6">
        <f t="shared" si="7"/>
        <v>3.8481333576719789E-2</v>
      </c>
    </row>
    <row r="263" spans="2:7" x14ac:dyDescent="0.35">
      <c r="B263" s="23">
        <v>46026</v>
      </c>
      <c r="C263">
        <v>156.94</v>
      </c>
      <c r="D263" s="6">
        <f t="shared" si="6"/>
        <v>8.9360334297652333E-3</v>
      </c>
      <c r="F263" s="34">
        <v>184409.67</v>
      </c>
      <c r="G263" s="6">
        <f t="shared" si="7"/>
        <v>3.0020564700946162E-2</v>
      </c>
    </row>
    <row r="264" spans="2:7" x14ac:dyDescent="0.35">
      <c r="B264" s="23">
        <v>46033</v>
      </c>
      <c r="C264">
        <v>162.15</v>
      </c>
      <c r="D264" s="6">
        <f t="shared" si="6"/>
        <v>3.3197400280361888E-2</v>
      </c>
      <c r="F264" s="34">
        <v>185098.83</v>
      </c>
      <c r="G264" s="6">
        <f t="shared" si="7"/>
        <v>3.7371142196609419E-3</v>
      </c>
    </row>
    <row r="265" spans="2:7" x14ac:dyDescent="0.35">
      <c r="B265" s="23">
        <v>46040</v>
      </c>
      <c r="C265">
        <v>183.4</v>
      </c>
      <c r="D265" s="6">
        <f t="shared" ref="D265:D266" si="8">C265/C264 -1</f>
        <v>0.13105149552883133</v>
      </c>
      <c r="F265" s="34">
        <v>189166.83</v>
      </c>
      <c r="G265" s="6">
        <f t="shared" ref="G265:G266" si="9">F265/F264 -1</f>
        <v>2.1977448479820305E-2</v>
      </c>
    </row>
    <row r="266" spans="2:7" x14ac:dyDescent="0.35">
      <c r="B266" s="23">
        <v>46047</v>
      </c>
      <c r="C266">
        <v>171.03</v>
      </c>
      <c r="D266" s="6">
        <f t="shared" si="8"/>
        <v>-6.7448200654307566E-2</v>
      </c>
      <c r="F266" s="34">
        <v>184003.64</v>
      </c>
      <c r="G266" s="6">
        <f t="shared" si="9"/>
        <v>-2.7294372908823306E-2</v>
      </c>
    </row>
    <row r="267" spans="2:7" x14ac:dyDescent="0.35">
      <c r="B267" s="23"/>
    </row>
  </sheetData>
  <mergeCells count="1">
    <mergeCell ref="I6:K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A8F1-BF69-47F9-9EBE-16BE16ECFEF4}">
  <dimension ref="B2:K13"/>
  <sheetViews>
    <sheetView showGridLines="0" topLeftCell="B1" zoomScale="131" workbookViewId="0">
      <selection activeCell="B8" sqref="B8"/>
    </sheetView>
  </sheetViews>
  <sheetFormatPr defaultRowHeight="14.5" x14ac:dyDescent="0.35"/>
  <cols>
    <col min="1" max="1" width="1.81640625" customWidth="1"/>
    <col min="2" max="2" width="29.453125" bestFit="1" customWidth="1"/>
    <col min="3" max="3" width="10.36328125" customWidth="1"/>
    <col min="4" max="4" width="10.08984375" bestFit="1" customWidth="1"/>
    <col min="5" max="5" width="13.7265625" bestFit="1" customWidth="1"/>
    <col min="6" max="6" width="7.90625" bestFit="1" customWidth="1"/>
    <col min="7" max="8" width="6.81640625" bestFit="1" customWidth="1"/>
    <col min="9" max="9" width="12.36328125" bestFit="1" customWidth="1"/>
    <col min="10" max="10" width="10.7265625" bestFit="1" customWidth="1"/>
  </cols>
  <sheetData>
    <row r="2" spans="2:11" ht="18.5" x14ac:dyDescent="0.45">
      <c r="B2" s="2" t="s">
        <v>88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35">
      <c r="B3" s="42" t="s">
        <v>89</v>
      </c>
    </row>
    <row r="4" spans="2:11" x14ac:dyDescent="0.35">
      <c r="B4" s="42"/>
    </row>
    <row r="5" spans="2:11" x14ac:dyDescent="0.35">
      <c r="B5" s="43" t="s">
        <v>91</v>
      </c>
    </row>
    <row r="6" spans="2:11" x14ac:dyDescent="0.35">
      <c r="B6" s="9"/>
      <c r="C6" s="9"/>
      <c r="D6" s="9"/>
      <c r="E6" s="9"/>
      <c r="F6" s="9"/>
      <c r="G6" s="44" t="s">
        <v>7</v>
      </c>
      <c r="H6" s="44" t="s">
        <v>7</v>
      </c>
      <c r="I6" s="44" t="s">
        <v>86</v>
      </c>
      <c r="J6" s="44" t="s">
        <v>27</v>
      </c>
      <c r="K6" s="44" t="s">
        <v>10</v>
      </c>
    </row>
    <row r="7" spans="2:11" x14ac:dyDescent="0.35">
      <c r="B7" t="s">
        <v>90</v>
      </c>
      <c r="D7" t="s">
        <v>3</v>
      </c>
      <c r="E7" t="s">
        <v>4</v>
      </c>
      <c r="F7" t="s">
        <v>5</v>
      </c>
      <c r="G7" s="41" t="s">
        <v>8</v>
      </c>
      <c r="H7" s="41" t="s">
        <v>9</v>
      </c>
      <c r="I7" s="41" t="s">
        <v>87</v>
      </c>
      <c r="J7" s="41" t="s">
        <v>92</v>
      </c>
      <c r="K7" s="41" t="s">
        <v>93</v>
      </c>
    </row>
    <row r="8" spans="2:11" x14ac:dyDescent="0.35">
      <c r="B8" s="43" t="s">
        <v>108</v>
      </c>
      <c r="C8" s="3"/>
      <c r="D8" s="40">
        <f>FFC!P35</f>
        <v>79894647</v>
      </c>
      <c r="E8" s="38">
        <v>849081285.50999999</v>
      </c>
      <c r="F8" s="39">
        <v>0.39</v>
      </c>
      <c r="G8" s="6">
        <f>D8/E8</f>
        <v>9.4095404484167075E-2</v>
      </c>
      <c r="H8" s="6">
        <f>D8/(D8+E8)</f>
        <v>8.6002924515097667E-2</v>
      </c>
      <c r="I8" s="7">
        <f>FFC!P8</f>
        <v>0.77006886619376502</v>
      </c>
      <c r="J8" s="7">
        <f>FFC!K13</f>
        <v>0.84594614034982252</v>
      </c>
      <c r="K8" s="7">
        <f>J8/((1+(1-F8)*(G8)))</f>
        <v>0.80002608568998335</v>
      </c>
    </row>
    <row r="9" spans="2:11" x14ac:dyDescent="0.35">
      <c r="B9" s="43" t="s">
        <v>73</v>
      </c>
      <c r="C9" s="3"/>
      <c r="D9" s="40">
        <f>Engro!P33</f>
        <v>73205930</v>
      </c>
      <c r="E9" s="38">
        <v>317988193.16000003</v>
      </c>
      <c r="F9" s="39">
        <v>0.39</v>
      </c>
      <c r="G9" s="6">
        <f t="shared" ref="G9:G10" si="0">D9/E9</f>
        <v>0.23021587459747431</v>
      </c>
      <c r="H9" s="6">
        <f t="shared" ref="H9:H10" si="1">D9/(D9+E9)</f>
        <v>0.18713453415060244</v>
      </c>
      <c r="I9" s="7">
        <f>Engro!P6</f>
        <v>0.82095711068096788</v>
      </c>
      <c r="J9" s="7">
        <f>Engro!K13</f>
        <v>0.8800412641562485</v>
      </c>
      <c r="K9" s="7">
        <f t="shared" ref="K9:K10" si="2">J9/((1+(1-F9)*(G9)))</f>
        <v>0.77167381166748117</v>
      </c>
    </row>
    <row r="10" spans="2:11" x14ac:dyDescent="0.35">
      <c r="B10" s="43" t="s">
        <v>74</v>
      </c>
      <c r="C10" s="3"/>
      <c r="D10" s="40">
        <f>Fatima!P36</f>
        <v>67497376</v>
      </c>
      <c r="E10" s="38">
        <v>393771000</v>
      </c>
      <c r="F10" s="39">
        <v>0.39</v>
      </c>
      <c r="G10" s="6">
        <f t="shared" si="0"/>
        <v>0.17141276528743865</v>
      </c>
      <c r="H10" s="6">
        <f t="shared" si="1"/>
        <v>0.14632994480419356</v>
      </c>
      <c r="I10" s="7">
        <f>Fatima!P8</f>
        <v>0.67421376910824582</v>
      </c>
      <c r="J10" s="7">
        <f>Fatima!K13</f>
        <v>0.7817232253025248</v>
      </c>
      <c r="K10" s="7">
        <f t="shared" si="2"/>
        <v>0.70772249649275365</v>
      </c>
    </row>
    <row r="12" spans="2:11" x14ac:dyDescent="0.35">
      <c r="E12" s="9" t="s">
        <v>13</v>
      </c>
      <c r="F12" s="11">
        <f>IFERROR(AVERAGE(F8:F10),0)</f>
        <v>0.38999999999999996</v>
      </c>
      <c r="G12" s="11">
        <f>IFERROR(AVERAGE(G8:G10),0)</f>
        <v>0.16524134812302668</v>
      </c>
      <c r="H12" s="11">
        <f>IFERROR(AVERAGE(H8:H10),0)</f>
        <v>0.13982246782329788</v>
      </c>
      <c r="I12" s="13">
        <f>IFERROR(AVERAGE(I8:I10),0)</f>
        <v>0.75507991532765961</v>
      </c>
      <c r="J12" s="13">
        <f>IFERROR(AVERAGE(J8:J10),0)</f>
        <v>0.83590354326953198</v>
      </c>
      <c r="K12" s="13">
        <f t="shared" ref="K12" si="3">IFERROR(AVERAGE(K8:K10),0)</f>
        <v>0.75980746461673931</v>
      </c>
    </row>
    <row r="13" spans="2:11" x14ac:dyDescent="0.35">
      <c r="E13" s="10" t="s">
        <v>14</v>
      </c>
      <c r="F13" s="12">
        <f>IFERROR(MEDIAN(F8:F10),0)</f>
        <v>0.39</v>
      </c>
      <c r="G13" s="12">
        <f>IFERROR(MEDIAN(G8:G10),0)</f>
        <v>0.17141276528743865</v>
      </c>
      <c r="H13" s="12">
        <f>IFERROR(MEDIAN(H8:H10),0)</f>
        <v>0.14632994480419356</v>
      </c>
      <c r="I13" s="14">
        <f>IFERROR(MEDIAN(I8:I10),0)</f>
        <v>0.77006886619376502</v>
      </c>
      <c r="J13" s="14">
        <f>IFERROR(MEDIAN(J8:J10),0)</f>
        <v>0.84594614034982252</v>
      </c>
      <c r="K13" s="14">
        <f t="shared" ref="K13" si="4">IFERROR(MEDIAN(K8:K10),0)</f>
        <v>0.77167381166748117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C2C1-E37F-4CBD-AAE2-83287BDF67F6}">
  <dimension ref="B2:D6"/>
  <sheetViews>
    <sheetView showGridLines="0" workbookViewId="0">
      <selection activeCell="B3" sqref="B3"/>
    </sheetView>
  </sheetViews>
  <sheetFormatPr defaultRowHeight="14.5" x14ac:dyDescent="0.35"/>
  <cols>
    <col min="2" max="2" width="19.90625" bestFit="1" customWidth="1"/>
    <col min="4" max="4" width="6.81640625" bestFit="1" customWidth="1"/>
  </cols>
  <sheetData>
    <row r="2" spans="2:4" x14ac:dyDescent="0.35">
      <c r="B2" s="52" t="s">
        <v>103</v>
      </c>
      <c r="C2" s="52"/>
      <c r="D2" s="52"/>
    </row>
    <row r="4" spans="2:4" x14ac:dyDescent="0.35">
      <c r="B4" t="s">
        <v>100</v>
      </c>
      <c r="D4" s="20">
        <v>0.105</v>
      </c>
    </row>
    <row r="5" spans="2:4" x14ac:dyDescent="0.35">
      <c r="B5" t="s">
        <v>101</v>
      </c>
      <c r="D5" s="20">
        <v>1.7500000000000002E-2</v>
      </c>
    </row>
    <row r="6" spans="2:4" x14ac:dyDescent="0.35">
      <c r="B6" t="s">
        <v>102</v>
      </c>
      <c r="D6" s="20">
        <f>SUM(D4:D5)</f>
        <v>0.1225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WACC Calc&gt;</vt:lpstr>
      <vt:lpstr>WACC</vt:lpstr>
      <vt:lpstr>Beta Calc&gt;</vt:lpstr>
      <vt:lpstr>FFC</vt:lpstr>
      <vt:lpstr>Engro</vt:lpstr>
      <vt:lpstr>Fatima</vt:lpstr>
      <vt:lpstr>Peer Comps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Khan</dc:creator>
  <cp:lastModifiedBy>Muhammad Haris Khan</cp:lastModifiedBy>
  <cp:lastPrinted>2026-02-05T11:27:37Z</cp:lastPrinted>
  <dcterms:created xsi:type="dcterms:W3CDTF">2015-06-05T18:17:20Z</dcterms:created>
  <dcterms:modified xsi:type="dcterms:W3CDTF">2026-02-05T11:27:41Z</dcterms:modified>
</cp:coreProperties>
</file>